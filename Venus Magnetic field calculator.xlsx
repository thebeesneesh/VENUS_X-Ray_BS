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6.xml"/>
  <Override ContentType="application/vnd.openxmlformats-officedocument.spreadsheetml.chartsheet+xml" PartName="/xl/chartsheets/sheet5.xml"/>
  <Override ContentType="application/vnd.openxmlformats-officedocument.spreadsheetml.chartsheet+xml" PartName="/xl/chartsheets/sheet4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z" sheetId="1" r:id="rId4"/>
    <sheet state="visible" name="Bmod" sheetId="2" r:id="rId5"/>
    <sheet state="visible" name="Br" sheetId="3" r:id="rId6"/>
    <sheet state="visible" name="field 4 coil" sheetId="4" r:id="rId7"/>
    <sheet state="visible" name="Sum" sheetId="5" r:id="rId8"/>
    <sheet state="visible" name="Ratio field" sheetId="6" r:id="rId9"/>
    <sheet state="visible" name="Sheet1" sheetId="7" r:id="rId10"/>
    <sheet state="visible" name="Quick Calculation" sheetId="8" r:id="rId11"/>
    <sheet state="visible" name="Radial Field" sheetId="9" r:id="rId12"/>
  </sheets>
  <definedNames/>
  <calcPr/>
  <extLst>
    <ext uri="GoogleSheetsCustomDataVersion2">
      <go:sheetsCustomData xmlns:go="http://customooxmlschemas.google.com/" r:id="rId13" roundtripDataChecksum="72E6Urp0c+1H8pSPW/TA7xyr16M+G0HCZCfXTn2weP4="/>
    </ext>
  </extLst>
</workbook>
</file>

<file path=xl/sharedStrings.xml><?xml version="1.0" encoding="utf-8"?>
<sst xmlns="http://schemas.openxmlformats.org/spreadsheetml/2006/main" count="62" uniqueCount="52">
  <si>
    <t>axis Z</t>
  </si>
  <si>
    <t>Bz mod (185+152+-146)</t>
  </si>
  <si>
    <t>Inj(185A)</t>
  </si>
  <si>
    <t>Mid(-146)</t>
  </si>
  <si>
    <t>Ext(152)</t>
  </si>
  <si>
    <t>Sextupoles(460)</t>
  </si>
  <si>
    <t>Sum(185+152+-146)</t>
  </si>
  <si>
    <t>Mid(-120)</t>
  </si>
  <si>
    <t>Sum(185+152+-120)</t>
  </si>
  <si>
    <t>Field (tesla)</t>
  </si>
  <si>
    <t>Ratio Sum(185,-120,152)/(185,-146,152)</t>
  </si>
  <si>
    <t>Ratio Mid120/146</t>
  </si>
  <si>
    <t>R</t>
  </si>
  <si>
    <t>BMOD(on 1 pole)</t>
  </si>
  <si>
    <t>Bx (on 1 pole)</t>
  </si>
  <si>
    <t>By (on 1 pole)</t>
  </si>
  <si>
    <t>(Bx2+By2)1pole</t>
  </si>
  <si>
    <t>sqrt(Bx2+By2)1pole</t>
  </si>
  <si>
    <t>Bmod (2 pole)</t>
  </si>
  <si>
    <t>Bx (on 2 pole)</t>
  </si>
  <si>
    <t>By (on 2 pole)</t>
  </si>
  <si>
    <t>(Bx2+By2)2pole</t>
  </si>
  <si>
    <t>sqrt(Bx2+By2)2pole</t>
  </si>
  <si>
    <t>axis X</t>
  </si>
  <si>
    <t>axis Y</t>
  </si>
  <si>
    <t>Field</t>
  </si>
  <si>
    <t>k=9.21E-5</t>
  </si>
  <si>
    <t>radius of chamber (cm)</t>
  </si>
  <si>
    <t>r (cm)</t>
  </si>
  <si>
    <t>I</t>
  </si>
  <si>
    <t>B (T)</t>
  </si>
  <si>
    <t xml:space="preserve">Instructions: </t>
  </si>
  <si>
    <t>INJ</t>
  </si>
  <si>
    <t>MID</t>
  </si>
  <si>
    <t>EXT</t>
  </si>
  <si>
    <t>SEXT (460A)</t>
  </si>
  <si>
    <t>Sum (G)</t>
  </si>
  <si>
    <t>Z</t>
  </si>
  <si>
    <t>Sum (T)</t>
  </si>
  <si>
    <t>Originals:</t>
  </si>
  <si>
    <t>Enter desired currents.</t>
  </si>
  <si>
    <t>(Do Not Alter!)</t>
  </si>
  <si>
    <t>Injection (A):</t>
  </si>
  <si>
    <t>Center</t>
  </si>
  <si>
    <t>Extraction</t>
  </si>
  <si>
    <t>B/Becr 18</t>
  </si>
  <si>
    <t>B/Becr 28</t>
  </si>
  <si>
    <t>Max Field @ Injection:</t>
  </si>
  <si>
    <t>Tesla</t>
  </si>
  <si>
    <t>Max Field @ Extraction:</t>
  </si>
  <si>
    <t>Min Field @ Center:</t>
  </si>
  <si>
    <t>Becr (18GHz)= 0.64T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</si>
</sst>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E+00"/>
    <numFmt numFmtId="165" formatCode="0.0000E+00"/>
    <numFmt numFmtId="166" formatCode="0.000"/>
  </numFmts>
  <fonts count="12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u/>
      <sz val="10.0"/>
      <color theme="1"/>
      <name val="Arial"/>
    </font>
    <font>
      <b/>
      <u/>
      <sz val="10.0"/>
      <color theme="1"/>
      <name val="Arial"/>
    </font>
    <font>
      <b/>
      <u/>
      <sz val="10.0"/>
      <color rgb="FFFF0000"/>
      <name val="Arial"/>
    </font>
    <font>
      <b/>
      <sz val="10.0"/>
      <color rgb="FFFF0000"/>
      <name val="Arial"/>
    </font>
    <font>
      <u/>
      <sz val="10.0"/>
      <color theme="1"/>
      <name val="Arial"/>
    </font>
    <font>
      <b/>
      <u/>
      <sz val="10.0"/>
      <color rgb="FF008000"/>
      <name val="Arial"/>
    </font>
    <font>
      <sz val="10.0"/>
      <color rgb="FF808080"/>
      <name val="Arial"/>
    </font>
    <font>
      <b/>
      <sz val="10.0"/>
      <color rgb="FF008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11" xfId="0" applyAlignment="1" applyFont="1" applyNumberFormat="1">
      <alignment horizontal="center" shrinkToFit="0" vertical="bottom" wrapText="0"/>
    </xf>
    <xf borderId="0" fillId="0" fontId="2" numFmtId="164" xfId="0" applyAlignment="1" applyFont="1" applyNumberFormat="1">
      <alignment horizontal="center" shrinkToFit="0" vertical="bottom" wrapText="0"/>
    </xf>
    <xf borderId="0" fillId="0" fontId="2" numFmtId="165" xfId="0" applyAlignment="1" applyFont="1" applyNumberFormat="1">
      <alignment horizontal="center" shrinkToFit="0" vertical="bottom" wrapText="0"/>
    </xf>
    <xf borderId="0" fillId="0" fontId="2" numFmtId="2" xfId="0" applyAlignment="1" applyFont="1" applyNumberFormat="1">
      <alignment shrinkToFit="0" vertical="bottom" wrapText="0"/>
    </xf>
    <xf borderId="0" fillId="0" fontId="3" numFmtId="0" xfId="0" applyFont="1"/>
    <xf borderId="0" fillId="0" fontId="2" numFmtId="11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2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2.xml"/><Relationship Id="rId10" Type="http://schemas.openxmlformats.org/officeDocument/2006/relationships/worksheet" Target="worksheets/sheet1.xml"/><Relationship Id="rId13" Type="http://customschemas.google.com/relationships/workbookmetadata" Target="metadata"/><Relationship Id="rId12" Type="http://schemas.openxmlformats.org/officeDocument/2006/relationships/worksheet" Target="worksheets/sheet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chartsheet" Target="chartsheets/sheet6.xml"/><Relationship Id="rId5" Type="http://schemas.openxmlformats.org/officeDocument/2006/relationships/chartsheet" Target="chartsheets/sheet2.xml"/><Relationship Id="rId6" Type="http://schemas.openxmlformats.org/officeDocument/2006/relationships/chartsheet" Target="chartsheets/sheet3.xml"/><Relationship Id="rId7" Type="http://schemas.openxmlformats.org/officeDocument/2006/relationships/chartsheet" Target="chartsheets/sheet4.xml"/><Relationship Id="rId8" Type="http://schemas.openxmlformats.org/officeDocument/2006/relationships/chartsheet" Target="chart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Magnetic field distribution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Sheet1!$B$2:$B$202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586137"/>
        <c:axId val="1934177369"/>
      </c:scatterChart>
      <c:valAx>
        <c:axId val="2060586137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Axis Z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4177369"/>
      </c:valAx>
      <c:valAx>
        <c:axId val="1934177369"/>
        <c:scaling>
          <c:orientation val="minMax"/>
          <c:max val="3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586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Bmod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Sheet1!$O$2:$O$82</c:f>
            </c:numRef>
          </c:xVal>
          <c:yVal>
            <c:numRef>
              <c:f>Sheet1!$P$2:$P$82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Sheet1!$O$2:$O$82</c:f>
            </c:numRef>
          </c:xVal>
          <c:yVal>
            <c:numRef>
              <c:f>Sheet1!$U$2:$U$82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879030"/>
        <c:axId val="816751245"/>
      </c:scatterChart>
      <c:valAx>
        <c:axId val="487879030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751245"/>
      </c:valAx>
      <c:valAx>
        <c:axId val="816751245"/>
        <c:scaling>
          <c:orientation val="minMax"/>
          <c:max val="3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78790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Br mod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Sheet1!$O$2:$O$82</c:f>
            </c:numRef>
          </c:xVal>
          <c:yVal>
            <c:numRef>
              <c:f>Sheet1!$T$2:$T$82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Sheet1!$O$2:$O$82</c:f>
            </c:numRef>
          </c:xVal>
          <c:yVal>
            <c:numRef>
              <c:f>Sheet1!$Y$2:$Y$82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88169"/>
        <c:axId val="2056638634"/>
      </c:scatterChart>
      <c:valAx>
        <c:axId val="149588169"/>
        <c:scaling>
          <c:orientation val="minMax"/>
          <c:max val="8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6638634"/>
      </c:valAx>
      <c:valAx>
        <c:axId val="2056638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88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Field for each coil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Sheet1!$D$2:$D$202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Sheet1!$E$2:$E$202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 cmpd="sng">
                <a:solidFill>
                  <a:srgbClr val="FFFF0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Sheet1!$F$2:$F$202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rgbClr val="00FFFF"/>
              </a:solidFill>
              <a:ln cmpd="sng">
                <a:solidFill>
                  <a:srgbClr val="00FFFF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Sheet1!$G$2:$G$202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rgbClr val="800080"/>
              </a:solidFill>
              <a:ln cmpd="sng">
                <a:solidFill>
                  <a:srgbClr val="80008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Sheet1!$I$2:$I$202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667532"/>
        <c:axId val="248126835"/>
      </c:scatterChart>
      <c:valAx>
        <c:axId val="734667532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axis Z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126835"/>
      </c:valAx>
      <c:valAx>
        <c:axId val="248126835"/>
        <c:scaling>
          <c:orientation val="minMax"/>
          <c:max val="4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4667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Sheet1!$H$2:$H$202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Sheet1!$J$2:$J$202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687522"/>
        <c:axId val="1131238588"/>
      </c:scatterChart>
      <c:valAx>
        <c:axId val="1789687522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Axis Z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1238588"/>
      </c:valAx>
      <c:valAx>
        <c:axId val="1131238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9687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Sheet1!$L$2:$L$202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Sheet1!$A$2:$A$202</c:f>
            </c:numRef>
          </c:xVal>
          <c:yVal>
            <c:numRef>
              <c:f>Sheet1!$M$2:$M$202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089060"/>
        <c:axId val="572887468"/>
      </c:scatterChart>
      <c:valAx>
        <c:axId val="2048089060"/>
        <c:scaling>
          <c:orientation val="minMax"/>
          <c:max val="100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Axis Z (cm)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2887468"/>
      </c:valAx>
      <c:valAx>
        <c:axId val="572887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field (gauss)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089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Sheet1!$A$2:$A$202</c:f>
            </c:strRef>
          </c:cat>
          <c:val>
            <c:numRef>
              <c:f>Sheet1!$J$2:$J$202</c:f>
              <c:numCache/>
            </c:numRef>
          </c:val>
          <c:smooth val="0"/>
        </c:ser>
        <c:axId val="1779675475"/>
        <c:axId val="129272276"/>
      </c:lineChart>
      <c:catAx>
        <c:axId val="1779675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272276"/>
      </c:catAx>
      <c:valAx>
        <c:axId val="129272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9675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  <a:r>
              <a:rPr b="0" i="0" sz="1200">
                <a:solidFill>
                  <a:srgbClr val="000000"/>
                </a:solidFill>
                <a:latin typeface="+mn-lt"/>
              </a:rPr>
              <a:t>Field on Axis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rgbClr val="339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Calculation'!$I$2:$I$202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Calculation'!$W$2:$W$202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Calculation'!$V$2:$V$202</c:f>
              <c:numCache/>
            </c:numRef>
          </c:val>
          <c:smooth val="0"/>
        </c:ser>
        <c:axId val="1486140914"/>
        <c:axId val="1089716488"/>
      </c:lineChart>
      <c:catAx>
        <c:axId val="1486140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716488"/>
      </c:catAx>
      <c:valAx>
        <c:axId val="1089716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1409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  <a:r>
              <a:rPr b="0" i="0" sz="1200">
                <a:solidFill>
                  <a:srgbClr val="000000"/>
                </a:solidFill>
                <a:latin typeface="+mn-lt"/>
              </a:rPr>
              <a:t>Field on Axis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rgbClr val="339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Calculation'!$I$2:$I$202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Calculation'!$W$2:$W$202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'Quick Calculation'!$H$2:$H$202</c:f>
            </c:strRef>
          </c:cat>
          <c:val>
            <c:numRef>
              <c:f>'Quick Calculation'!$V$2:$V$202</c:f>
              <c:numCache/>
            </c:numRef>
          </c:val>
          <c:smooth val="0"/>
        </c:ser>
        <c:axId val="380183816"/>
        <c:axId val="1192324468"/>
      </c:lineChart>
      <c:catAx>
        <c:axId val="380183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2324468"/>
      </c:catAx>
      <c:valAx>
        <c:axId val="1192324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183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666699"/>
              </a:solidFill>
              <a:ln cmpd="sng">
                <a:solidFill>
                  <a:srgbClr val="666699"/>
                </a:solidFill>
              </a:ln>
            </c:spPr>
          </c:marker>
          <c:xVal>
            <c:numRef>
              <c:f>'Radial Field'!$F$10:$F$82</c:f>
            </c:numRef>
          </c:xVal>
          <c:yVal>
            <c:numRef>
              <c:f>'Radial Field'!$G$10:$G$82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094388"/>
        <c:axId val="768722462"/>
      </c:scatterChart>
      <c:valAx>
        <c:axId val="1688094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8722462"/>
      </c:valAx>
      <c:valAx>
        <c:axId val="768722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0943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210683526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33355407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23378504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59576149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2014249116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descr="Chart 0" id="18919325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1333500</xdr:colOff>
      <xdr:row>10</xdr:row>
      <xdr:rowOff>95250</xdr:rowOff>
    </xdr:from>
    <xdr:ext cx="5210175" cy="2752725"/>
    <xdr:graphicFrame>
      <xdr:nvGraphicFramePr>
        <xdr:cNvPr descr="Chart 0" id="109675135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18</xdr:row>
      <xdr:rowOff>142875</xdr:rowOff>
    </xdr:from>
    <xdr:ext cx="7705725" cy="4181475"/>
    <xdr:graphicFrame>
      <xdr:nvGraphicFramePr>
        <xdr:cNvPr descr="Chart 0" id="204814691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114300</xdr:colOff>
      <xdr:row>12</xdr:row>
      <xdr:rowOff>133350</xdr:rowOff>
    </xdr:from>
    <xdr:ext cx="7658100" cy="4181475"/>
    <xdr:graphicFrame>
      <xdr:nvGraphicFramePr>
        <xdr:cNvPr descr="Chart 1" id="35187494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14</xdr:row>
      <xdr:rowOff>0</xdr:rowOff>
    </xdr:from>
    <xdr:ext cx="4572000" cy="2743200"/>
    <xdr:graphicFrame>
      <xdr:nvGraphicFramePr>
        <xdr:cNvPr descr="Chart 0" id="143837693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1.38"/>
    <col customWidth="1" min="3" max="3" width="4.0"/>
    <col customWidth="1" min="4" max="6" width="14.13"/>
    <col customWidth="1" min="7" max="7" width="15.38"/>
    <col customWidth="1" min="8" max="8" width="17.75"/>
    <col customWidth="1" min="9" max="9" width="14.13"/>
    <col customWidth="1" min="10" max="11" width="18.13"/>
    <col customWidth="1" min="12" max="12" width="35.13"/>
    <col customWidth="1" min="13" max="13" width="17.38"/>
    <col customWidth="1" min="14" max="14" width="9.38"/>
    <col customWidth="1" min="15" max="15" width="13.88"/>
    <col customWidth="1" min="16" max="16" width="17.38"/>
    <col customWidth="1" min="17" max="17" width="17.13"/>
    <col customWidth="1" min="18" max="18" width="14.88"/>
    <col customWidth="1" min="19" max="19" width="16.25"/>
    <col customWidth="1" min="20" max="20" width="18.0"/>
    <col customWidth="1" min="21" max="21" width="16.38"/>
    <col customWidth="1" min="22" max="22" width="14.13"/>
    <col customWidth="1" min="23" max="23" width="15.25"/>
    <col customWidth="1" min="24" max="24" width="16.0"/>
    <col customWidth="1" min="25" max="25" width="19.25"/>
    <col customWidth="1" min="26" max="26" width="8.88"/>
    <col customWidth="1" min="27" max="28" width="12.13"/>
    <col customWidth="1" min="29" max="29" width="14.0"/>
  </cols>
  <sheetData>
    <row r="1" ht="12.75" customHeight="1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2"/>
      <c r="AA1" s="1" t="s">
        <v>23</v>
      </c>
      <c r="AB1" s="1" t="s">
        <v>24</v>
      </c>
      <c r="AC1" s="1" t="s">
        <v>25</v>
      </c>
    </row>
    <row r="2" ht="12.75" customHeight="1">
      <c r="A2" s="3">
        <v>-100.0</v>
      </c>
      <c r="B2" s="3">
        <v>27.3321787441431</v>
      </c>
      <c r="C2" s="3"/>
      <c r="D2" s="3">
        <v>28.6534013859291</v>
      </c>
      <c r="E2" s="3">
        <v>-1.7305428926121</v>
      </c>
      <c r="F2" s="3">
        <v>1.20937275756593</v>
      </c>
      <c r="G2" s="4">
        <v>5.6564943135E-4</v>
      </c>
      <c r="H2" s="5">
        <f t="shared" ref="H2:H202" si="1">D2+E2+F2+G2</f>
        <v>28.1327969</v>
      </c>
      <c r="I2" s="3">
        <v>-1.5761793133629</v>
      </c>
      <c r="J2" s="6">
        <f t="shared" ref="J2:J202" si="2">D2+F2+I2+G2</f>
        <v>28.28716048</v>
      </c>
      <c r="K2" s="6">
        <f t="shared" ref="K2:K202" si="3">J2/10000</f>
        <v>0.002828716048</v>
      </c>
      <c r="L2" s="6">
        <f t="shared" ref="L2:L202" si="4">J2/H2</f>
        <v>1.005486962</v>
      </c>
      <c r="M2" s="6">
        <f t="shared" ref="M2:M202" si="5">I2/E2</f>
        <v>0.9108004893</v>
      </c>
      <c r="N2" s="3"/>
      <c r="O2" s="3">
        <v>0.0</v>
      </c>
      <c r="P2" s="3">
        <v>5768.36957382975</v>
      </c>
      <c r="Q2" s="3">
        <v>-0.2075342666321</v>
      </c>
      <c r="R2" s="3">
        <v>-6.0029272728424</v>
      </c>
      <c r="S2" s="3">
        <f t="shared" ref="S2:S82" si="6">Q2*Q2+R2*R2</f>
        <v>36.07820631</v>
      </c>
      <c r="T2" s="3">
        <f t="shared" ref="T2:T82" si="7">POWER(S2,0.5)</f>
        <v>6.006513657</v>
      </c>
      <c r="U2" s="3">
        <v>5768.36957382975</v>
      </c>
      <c r="V2" s="3">
        <v>-0.2075342666321</v>
      </c>
      <c r="W2" s="3">
        <v>-6.0029272728424</v>
      </c>
      <c r="X2" s="3">
        <f t="shared" ref="X2:X82" si="8">V2*V2+W2*W2</f>
        <v>36.07820631</v>
      </c>
      <c r="Y2" s="3">
        <f t="shared" ref="Y2:Y82" si="9">POWER(X2,0.5)</f>
        <v>6.006513657</v>
      </c>
      <c r="AA2" s="3">
        <v>-8.0</v>
      </c>
      <c r="AB2" s="3">
        <v>-8.0</v>
      </c>
      <c r="AC2" s="3">
        <v>24475.706937</v>
      </c>
    </row>
    <row r="3" ht="12.75" customHeight="1">
      <c r="A3" s="3">
        <v>-99.0</v>
      </c>
      <c r="B3" s="3">
        <v>30.0247861158498</v>
      </c>
      <c r="C3" s="3"/>
      <c r="D3" s="3">
        <v>31.4633542521637</v>
      </c>
      <c r="E3" s="3">
        <v>-1.8952523502041</v>
      </c>
      <c r="F3" s="3">
        <v>1.31367792593821</v>
      </c>
      <c r="G3" s="4">
        <v>6.0526599015E-4</v>
      </c>
      <c r="H3" s="5">
        <f t="shared" si="1"/>
        <v>30.88238509</v>
      </c>
      <c r="I3" s="3">
        <v>-1.7263975843536</v>
      </c>
      <c r="J3" s="6">
        <f t="shared" si="2"/>
        <v>31.05123986</v>
      </c>
      <c r="K3" s="6">
        <f t="shared" si="3"/>
        <v>0.003105123986</v>
      </c>
      <c r="L3" s="6">
        <f t="shared" si="4"/>
        <v>1.005467672</v>
      </c>
      <c r="M3" s="6">
        <f t="shared" si="5"/>
        <v>0.9109064469</v>
      </c>
      <c r="N3" s="3"/>
      <c r="O3" s="3">
        <v>0.1</v>
      </c>
      <c r="P3" s="3">
        <v>5763.39049926217</v>
      </c>
      <c r="Q3" s="3">
        <v>45.2618627327297</v>
      </c>
      <c r="R3" s="3">
        <v>-4.4209264045975</v>
      </c>
      <c r="S3" s="3">
        <f t="shared" si="6"/>
        <v>2068.180808</v>
      </c>
      <c r="T3" s="3">
        <f t="shared" si="7"/>
        <v>45.47725595</v>
      </c>
      <c r="U3" s="3">
        <v>5762.83078056946</v>
      </c>
      <c r="V3" s="3">
        <v>27.5124234750248</v>
      </c>
      <c r="W3" s="3">
        <v>-1.8893036205767</v>
      </c>
      <c r="X3" s="3">
        <f t="shared" si="8"/>
        <v>760.5029136</v>
      </c>
      <c r="Y3" s="3">
        <f t="shared" si="9"/>
        <v>27.57721729</v>
      </c>
      <c r="AA3" s="3">
        <v>-8.0</v>
      </c>
      <c r="AB3" s="3">
        <v>-7.0</v>
      </c>
      <c r="AC3" s="3">
        <v>35336.5685577</v>
      </c>
    </row>
    <row r="4" ht="12.75" customHeight="1">
      <c r="A4" s="3">
        <v>-98.0</v>
      </c>
      <c r="B4" s="3">
        <v>32.7173934875564</v>
      </c>
      <c r="C4" s="3"/>
      <c r="D4" s="3">
        <v>34.2733071183983</v>
      </c>
      <c r="E4" s="3">
        <v>-2.059961807796</v>
      </c>
      <c r="F4" s="3">
        <v>1.41798309431049</v>
      </c>
      <c r="G4" s="4">
        <v>6.4488254896E-4</v>
      </c>
      <c r="H4" s="5">
        <f t="shared" si="1"/>
        <v>33.63197329</v>
      </c>
      <c r="I4" s="3">
        <v>-1.8766158553444</v>
      </c>
      <c r="J4" s="6">
        <f t="shared" si="2"/>
        <v>33.81531924</v>
      </c>
      <c r="K4" s="6">
        <f t="shared" si="3"/>
        <v>0.003381531924</v>
      </c>
      <c r="L4" s="6">
        <f t="shared" si="4"/>
        <v>1.005451537</v>
      </c>
      <c r="M4" s="6">
        <f t="shared" si="5"/>
        <v>0.9109954603</v>
      </c>
      <c r="N4" s="3"/>
      <c r="O4" s="3">
        <v>0.2</v>
      </c>
      <c r="P4" s="3">
        <v>5758.77119245334</v>
      </c>
      <c r="Q4" s="3">
        <v>90.7312597320915</v>
      </c>
      <c r="R4" s="3">
        <v>-2.8389255363526</v>
      </c>
      <c r="S4" s="3">
        <f t="shared" si="6"/>
        <v>8240.220991</v>
      </c>
      <c r="T4" s="3">
        <f t="shared" si="7"/>
        <v>90.77566299</v>
      </c>
      <c r="U4" s="3">
        <v>5757.42851137104</v>
      </c>
      <c r="V4" s="3">
        <v>55.2323812166817</v>
      </c>
      <c r="W4" s="3">
        <v>2.22432003168893</v>
      </c>
      <c r="X4" s="3">
        <f t="shared" si="8"/>
        <v>3055.563534</v>
      </c>
      <c r="Y4" s="3">
        <f t="shared" si="9"/>
        <v>55.27715201</v>
      </c>
      <c r="AA4" s="3">
        <v>-8.0</v>
      </c>
      <c r="AB4" s="3">
        <v>-6.0</v>
      </c>
      <c r="AC4" s="3">
        <v>30100.8188853</v>
      </c>
    </row>
    <row r="5" ht="12.75" customHeight="1">
      <c r="A5" s="3">
        <v>-97.0</v>
      </c>
      <c r="B5" s="3">
        <v>35.4100008592631</v>
      </c>
      <c r="C5" s="3"/>
      <c r="D5" s="3">
        <v>37.0832599846329</v>
      </c>
      <c r="E5" s="3">
        <v>-2.224671265388</v>
      </c>
      <c r="F5" s="3">
        <v>1.52228826268277</v>
      </c>
      <c r="G5" s="4">
        <v>6.8449910776E-4</v>
      </c>
      <c r="H5" s="5">
        <f t="shared" si="1"/>
        <v>36.38156148</v>
      </c>
      <c r="I5" s="3">
        <v>-2.0268341263352</v>
      </c>
      <c r="J5" s="6">
        <f t="shared" si="2"/>
        <v>36.57939862</v>
      </c>
      <c r="K5" s="6">
        <f t="shared" si="3"/>
        <v>0.003657939862</v>
      </c>
      <c r="L5" s="6">
        <f t="shared" si="4"/>
        <v>1.005437841</v>
      </c>
      <c r="M5" s="6">
        <f t="shared" si="5"/>
        <v>0.911071293</v>
      </c>
      <c r="N5" s="3"/>
      <c r="O5" s="3">
        <v>0.3</v>
      </c>
      <c r="P5" s="3">
        <v>5756.22953993706</v>
      </c>
      <c r="Q5" s="3">
        <v>134.486996279489</v>
      </c>
      <c r="R5" s="3">
        <v>-1.5964226996826</v>
      </c>
      <c r="S5" s="3">
        <f t="shared" si="6"/>
        <v>18089.30073</v>
      </c>
      <c r="T5" s="3">
        <f t="shared" si="7"/>
        <v>134.4964711</v>
      </c>
      <c r="U5" s="3">
        <v>5752.80641174649</v>
      </c>
      <c r="V5" s="3">
        <v>82.3160919031721</v>
      </c>
      <c r="W5" s="3">
        <v>6.21189501277423</v>
      </c>
      <c r="X5" s="3">
        <f t="shared" si="8"/>
        <v>6814.526626</v>
      </c>
      <c r="Y5" s="3">
        <f t="shared" si="9"/>
        <v>82.55014613</v>
      </c>
      <c r="AA5" s="3">
        <v>-8.0</v>
      </c>
      <c r="AB5" s="3">
        <v>-5.0</v>
      </c>
      <c r="AC5" s="3">
        <v>27141.782348</v>
      </c>
    </row>
    <row r="6" ht="12.75" customHeight="1">
      <c r="A6" s="3">
        <v>-96.0</v>
      </c>
      <c r="B6" s="3">
        <v>38.1026082309697</v>
      </c>
      <c r="C6" s="3"/>
      <c r="D6" s="3">
        <v>39.8932128508675</v>
      </c>
      <c r="E6" s="3">
        <v>-2.38938072298</v>
      </c>
      <c r="F6" s="3">
        <v>1.62659343105504</v>
      </c>
      <c r="G6" s="4">
        <v>7.2411566657E-4</v>
      </c>
      <c r="H6" s="5">
        <f t="shared" si="1"/>
        <v>39.13114967</v>
      </c>
      <c r="I6" s="3">
        <v>-2.177052397326</v>
      </c>
      <c r="J6" s="6">
        <f t="shared" si="2"/>
        <v>39.343478</v>
      </c>
      <c r="K6" s="6">
        <f t="shared" si="3"/>
        <v>0.0039343478</v>
      </c>
      <c r="L6" s="6">
        <f t="shared" si="4"/>
        <v>1.005426069</v>
      </c>
      <c r="M6" s="6">
        <f t="shared" si="5"/>
        <v>0.9111366708</v>
      </c>
      <c r="N6" s="3"/>
      <c r="O6" s="3">
        <v>0.4</v>
      </c>
      <c r="P6" s="3">
        <v>5755.24002046831</v>
      </c>
      <c r="Q6" s="3">
        <v>177.017600637305</v>
      </c>
      <c r="R6" s="3">
        <v>-0.5966342037126</v>
      </c>
      <c r="S6" s="3">
        <f t="shared" si="6"/>
        <v>31335.58691</v>
      </c>
      <c r="T6" s="3">
        <f t="shared" si="7"/>
        <v>177.0186061</v>
      </c>
      <c r="U6" s="3">
        <v>5750.27092749329</v>
      </c>
      <c r="V6" s="3">
        <v>107.456394802216</v>
      </c>
      <c r="W6" s="3">
        <v>9.81445607956327</v>
      </c>
      <c r="X6" s="3">
        <f t="shared" si="8"/>
        <v>11643.20033</v>
      </c>
      <c r="Y6" s="3">
        <f t="shared" si="9"/>
        <v>107.9036623</v>
      </c>
      <c r="AA6" s="3">
        <v>-8.0</v>
      </c>
      <c r="AB6" s="3">
        <v>-4.0</v>
      </c>
      <c r="AC6" s="3">
        <v>27183.857606</v>
      </c>
    </row>
    <row r="7" ht="12.75" customHeight="1">
      <c r="A7" s="3">
        <v>-95.0</v>
      </c>
      <c r="B7" s="3">
        <v>40.7952156026764</v>
      </c>
      <c r="C7" s="3"/>
      <c r="D7" s="3">
        <v>42.7031657171021</v>
      </c>
      <c r="E7" s="3">
        <v>-2.5540901805719</v>
      </c>
      <c r="F7" s="3">
        <v>1.73089859942732</v>
      </c>
      <c r="G7" s="4">
        <v>7.6373222538E-4</v>
      </c>
      <c r="H7" s="5">
        <f t="shared" si="1"/>
        <v>41.88073787</v>
      </c>
      <c r="I7" s="3">
        <v>-2.3272706683167</v>
      </c>
      <c r="J7" s="6">
        <f t="shared" si="2"/>
        <v>42.10755738</v>
      </c>
      <c r="K7" s="6">
        <f t="shared" si="3"/>
        <v>0.004210755738</v>
      </c>
      <c r="L7" s="6">
        <f t="shared" si="4"/>
        <v>1.005415843</v>
      </c>
      <c r="M7" s="6">
        <f t="shared" si="5"/>
        <v>0.9111936164</v>
      </c>
      <c r="N7" s="3"/>
      <c r="O7" s="3">
        <v>0.5</v>
      </c>
      <c r="P7" s="3">
        <v>5753.34117217822</v>
      </c>
      <c r="Q7" s="3">
        <v>234.631394143819</v>
      </c>
      <c r="R7" s="4">
        <v>-7.718986005E-12</v>
      </c>
      <c r="S7" s="4">
        <f t="shared" si="6"/>
        <v>55051.89112</v>
      </c>
      <c r="T7" s="3">
        <f t="shared" si="7"/>
        <v>234.6313941</v>
      </c>
      <c r="U7" s="3">
        <v>5746.62556292176</v>
      </c>
      <c r="V7" s="3">
        <v>155.187508393189</v>
      </c>
      <c r="W7" s="3">
        <v>-20.878097240097</v>
      </c>
      <c r="X7" s="3">
        <f t="shared" si="8"/>
        <v>24519.05771</v>
      </c>
      <c r="Y7" s="3">
        <f t="shared" si="9"/>
        <v>156.5856242</v>
      </c>
      <c r="AA7" s="3">
        <v>-8.0</v>
      </c>
      <c r="AB7" s="3">
        <v>-3.0</v>
      </c>
      <c r="AC7" s="3">
        <v>28167.8496323</v>
      </c>
    </row>
    <row r="8" ht="12.75" customHeight="1">
      <c r="A8" s="3">
        <v>-94.0</v>
      </c>
      <c r="B8" s="3">
        <v>43.4878229743831</v>
      </c>
      <c r="C8" s="3"/>
      <c r="D8" s="3">
        <v>45.5131185833367</v>
      </c>
      <c r="E8" s="3">
        <v>-2.7187996381639</v>
      </c>
      <c r="F8" s="3">
        <v>1.8352037677996</v>
      </c>
      <c r="G8" s="4">
        <v>8.0334878418E-4</v>
      </c>
      <c r="H8" s="5">
        <f t="shared" si="1"/>
        <v>44.63032606</v>
      </c>
      <c r="I8" s="3">
        <v>-2.4774889393075</v>
      </c>
      <c r="J8" s="6">
        <f t="shared" si="2"/>
        <v>44.87163676</v>
      </c>
      <c r="K8" s="6">
        <f t="shared" si="3"/>
        <v>0.004487163676</v>
      </c>
      <c r="L8" s="6">
        <f t="shared" si="4"/>
        <v>1.005406877</v>
      </c>
      <c r="M8" s="6">
        <f t="shared" si="5"/>
        <v>0.9112436623</v>
      </c>
      <c r="N8" s="3"/>
      <c r="O8" s="3">
        <v>0.6</v>
      </c>
      <c r="P8" s="3">
        <v>5750.5077363383</v>
      </c>
      <c r="Q8" s="3">
        <v>314.567029981362</v>
      </c>
      <c r="R8" s="4">
        <v>-5.041060676E-12</v>
      </c>
      <c r="S8" s="4">
        <f t="shared" si="6"/>
        <v>98952.41635</v>
      </c>
      <c r="T8" s="3">
        <f t="shared" si="7"/>
        <v>314.56703</v>
      </c>
      <c r="U8" s="3">
        <v>5743.44794106367</v>
      </c>
      <c r="V8" s="3">
        <v>206.04640353573</v>
      </c>
      <c r="W8" s="3">
        <v>-56.318936380466</v>
      </c>
      <c r="X8" s="3">
        <f t="shared" si="8"/>
        <v>45626.94301</v>
      </c>
      <c r="Y8" s="3">
        <f t="shared" si="9"/>
        <v>213.6046418</v>
      </c>
      <c r="AA8" s="3">
        <v>-8.0</v>
      </c>
      <c r="AB8" s="3">
        <v>-2.0</v>
      </c>
      <c r="AC8" s="3">
        <v>29572.5425414</v>
      </c>
    </row>
    <row r="9" ht="12.75" customHeight="1">
      <c r="A9" s="3">
        <v>-93.0</v>
      </c>
      <c r="B9" s="3">
        <v>46.1804303460897</v>
      </c>
      <c r="C9" s="3"/>
      <c r="D9" s="3">
        <v>48.3230714495713</v>
      </c>
      <c r="E9" s="3">
        <v>-2.8835090957559</v>
      </c>
      <c r="F9" s="3">
        <v>1.93950893617188</v>
      </c>
      <c r="G9" s="4">
        <v>8.4296534299E-4</v>
      </c>
      <c r="H9" s="5">
        <f t="shared" si="1"/>
        <v>47.37991426</v>
      </c>
      <c r="I9" s="3">
        <v>-2.6277072102983</v>
      </c>
      <c r="J9" s="6">
        <f t="shared" si="2"/>
        <v>47.63571614</v>
      </c>
      <c r="K9" s="6">
        <f t="shared" si="3"/>
        <v>0.004763571614</v>
      </c>
      <c r="L9" s="6">
        <f t="shared" si="4"/>
        <v>1.005398952</v>
      </c>
      <c r="M9" s="6">
        <f t="shared" si="5"/>
        <v>0.9112879908</v>
      </c>
      <c r="N9" s="3"/>
      <c r="O9" s="3">
        <v>0.7</v>
      </c>
      <c r="P9" s="3">
        <v>5748.79220882248</v>
      </c>
      <c r="Q9" s="3">
        <v>394.502665818905</v>
      </c>
      <c r="R9" s="4">
        <v>-2.363135347E-12</v>
      </c>
      <c r="S9" s="4">
        <f t="shared" si="6"/>
        <v>155632.3533</v>
      </c>
      <c r="T9" s="3">
        <f t="shared" si="7"/>
        <v>394.5026658</v>
      </c>
      <c r="U9" s="3">
        <v>5741.42399103638</v>
      </c>
      <c r="V9" s="3">
        <v>256.603111160262</v>
      </c>
      <c r="W9" s="3">
        <v>-92.967318912506</v>
      </c>
      <c r="X9" s="3">
        <f t="shared" si="8"/>
        <v>74488.07904</v>
      </c>
      <c r="Y9" s="3">
        <f t="shared" si="9"/>
        <v>272.9250429</v>
      </c>
      <c r="AA9" s="3">
        <v>-8.0</v>
      </c>
      <c r="AB9" s="3">
        <v>-1.0</v>
      </c>
      <c r="AC9" s="3">
        <v>30378.8505093</v>
      </c>
    </row>
    <row r="10" ht="12.75" customHeight="1">
      <c r="A10" s="3">
        <v>-92.0</v>
      </c>
      <c r="B10" s="3">
        <v>48.8730377177964</v>
      </c>
      <c r="C10" s="3"/>
      <c r="D10" s="3">
        <v>51.1330243158059</v>
      </c>
      <c r="E10" s="3">
        <v>-3.0482185533478</v>
      </c>
      <c r="F10" s="3">
        <v>2.04381410454416</v>
      </c>
      <c r="G10" s="4">
        <v>8.8258190179E-4</v>
      </c>
      <c r="H10" s="5">
        <f t="shared" si="1"/>
        <v>50.12950245</v>
      </c>
      <c r="I10" s="3">
        <v>-2.7779254812891</v>
      </c>
      <c r="J10" s="6">
        <f t="shared" si="2"/>
        <v>50.39979552</v>
      </c>
      <c r="K10" s="6">
        <f t="shared" si="3"/>
        <v>0.005039979552</v>
      </c>
      <c r="L10" s="6">
        <f t="shared" si="4"/>
        <v>1.005391896</v>
      </c>
      <c r="M10" s="6">
        <f t="shared" si="5"/>
        <v>0.9113275287</v>
      </c>
      <c r="N10" s="3"/>
      <c r="O10" s="3">
        <v>0.8</v>
      </c>
      <c r="P10" s="3">
        <v>5748.19559053751</v>
      </c>
      <c r="Q10" s="3">
        <v>474.438301656448</v>
      </c>
      <c r="R10" s="4">
        <v>3.147899816E-13</v>
      </c>
      <c r="S10" s="4">
        <f t="shared" si="6"/>
        <v>225091.7021</v>
      </c>
      <c r="T10" s="3">
        <f t="shared" si="7"/>
        <v>474.4383017</v>
      </c>
      <c r="U10" s="3">
        <v>5741.11582682687</v>
      </c>
      <c r="V10" s="3">
        <v>306.518285114494</v>
      </c>
      <c r="W10" s="3">
        <v>-132.17927438498</v>
      </c>
      <c r="X10" s="3">
        <f t="shared" si="8"/>
        <v>111424.8197</v>
      </c>
      <c r="Y10" s="3">
        <f t="shared" si="9"/>
        <v>333.8035645</v>
      </c>
      <c r="AA10" s="3">
        <v>-8.0</v>
      </c>
      <c r="AB10" s="3">
        <v>0.0</v>
      </c>
      <c r="AC10" s="3">
        <v>30611.755916</v>
      </c>
    </row>
    <row r="11" ht="12.75" customHeight="1">
      <c r="A11" s="3">
        <v>-91.0</v>
      </c>
      <c r="B11" s="3">
        <v>52.5759841294714</v>
      </c>
      <c r="C11" s="3"/>
      <c r="D11" s="3">
        <v>54.9871377206887</v>
      </c>
      <c r="E11" s="3">
        <v>-3.2754780684879</v>
      </c>
      <c r="F11" s="3">
        <v>2.18661354257948</v>
      </c>
      <c r="G11" s="4">
        <v>9.0366327356E-4</v>
      </c>
      <c r="H11" s="5">
        <f t="shared" si="1"/>
        <v>53.89917686</v>
      </c>
      <c r="I11" s="3">
        <v>-2.9851825747528</v>
      </c>
      <c r="J11" s="6">
        <f t="shared" si="2"/>
        <v>54.18947235</v>
      </c>
      <c r="K11" s="6">
        <f t="shared" si="3"/>
        <v>0.005418947235</v>
      </c>
      <c r="L11" s="6">
        <f t="shared" si="4"/>
        <v>1.005385898</v>
      </c>
      <c r="M11" s="6">
        <f t="shared" si="5"/>
        <v>0.9113730919</v>
      </c>
      <c r="N11" s="3"/>
      <c r="O11" s="3">
        <v>0.9</v>
      </c>
      <c r="P11" s="3">
        <v>5749.4315563564</v>
      </c>
      <c r="Q11" s="3">
        <v>574.307920315417</v>
      </c>
      <c r="R11" s="4">
        <v>6.3278811299E-13</v>
      </c>
      <c r="S11" s="4">
        <f t="shared" si="6"/>
        <v>329829.5873</v>
      </c>
      <c r="T11" s="3">
        <f t="shared" si="7"/>
        <v>574.3079203</v>
      </c>
      <c r="U11" s="3">
        <v>5740.38533422749</v>
      </c>
      <c r="V11" s="3">
        <v>364.451500463042</v>
      </c>
      <c r="W11" s="3">
        <v>-171.54181125951</v>
      </c>
      <c r="X11" s="3">
        <f t="shared" si="8"/>
        <v>162251.4892</v>
      </c>
      <c r="Y11" s="3">
        <f t="shared" si="9"/>
        <v>402.8045298</v>
      </c>
      <c r="AA11" s="3">
        <v>-8.0</v>
      </c>
      <c r="AB11" s="3">
        <v>1.0</v>
      </c>
      <c r="AC11" s="3">
        <v>26254.0863755</v>
      </c>
    </row>
    <row r="12" ht="12.75" customHeight="1">
      <c r="A12" s="3">
        <v>-90.0</v>
      </c>
      <c r="B12" s="3">
        <v>59.9229997142604</v>
      </c>
      <c r="C12" s="3"/>
      <c r="D12" s="3">
        <v>62.6073069545033</v>
      </c>
      <c r="E12" s="3">
        <v>-3.7283417892166</v>
      </c>
      <c r="F12" s="3">
        <v>2.46825328656303</v>
      </c>
      <c r="G12" s="4">
        <v>8.5789233036E-4</v>
      </c>
      <c r="H12" s="5">
        <f t="shared" si="1"/>
        <v>61.34807634</v>
      </c>
      <c r="I12" s="3">
        <v>-3.3981660693766</v>
      </c>
      <c r="J12" s="6">
        <f t="shared" si="2"/>
        <v>61.67825206</v>
      </c>
      <c r="K12" s="6">
        <f t="shared" si="3"/>
        <v>0.006167825206</v>
      </c>
      <c r="L12" s="6">
        <f t="shared" si="4"/>
        <v>1.005382006</v>
      </c>
      <c r="M12" s="6">
        <f t="shared" si="5"/>
        <v>0.9114416707</v>
      </c>
      <c r="N12" s="3"/>
      <c r="O12" s="3">
        <v>1.0</v>
      </c>
      <c r="P12" s="3">
        <v>5753.71222075193</v>
      </c>
      <c r="Q12" s="3">
        <v>682.651599846805</v>
      </c>
      <c r="R12" s="4">
        <v>-1.161672923E-12</v>
      </c>
      <c r="S12" s="4">
        <f t="shared" si="6"/>
        <v>466013.2068</v>
      </c>
      <c r="T12" s="3">
        <f t="shared" si="7"/>
        <v>682.6515998</v>
      </c>
      <c r="U12" s="3">
        <v>5738.0736912393</v>
      </c>
      <c r="V12" s="3">
        <v>427.999860211505</v>
      </c>
      <c r="W12" s="3">
        <v>-233.98001586328</v>
      </c>
      <c r="X12" s="3">
        <f t="shared" si="8"/>
        <v>237930.5282</v>
      </c>
      <c r="Y12" s="3">
        <f t="shared" si="9"/>
        <v>487.7812298</v>
      </c>
      <c r="AA12" s="3">
        <v>-8.0</v>
      </c>
      <c r="AB12" s="3">
        <v>2.0</v>
      </c>
      <c r="AC12" s="3">
        <v>26654.8345973</v>
      </c>
    </row>
    <row r="13" ht="12.75" customHeight="1">
      <c r="A13" s="3">
        <v>-89.0</v>
      </c>
      <c r="B13" s="3">
        <v>67.2700152990495</v>
      </c>
      <c r="C13" s="3"/>
      <c r="D13" s="3">
        <v>70.2274761883178</v>
      </c>
      <c r="E13" s="3">
        <v>-4.1812055099454</v>
      </c>
      <c r="F13" s="3">
        <v>2.74989303054658</v>
      </c>
      <c r="G13" s="4">
        <v>8.1212138716E-4</v>
      </c>
      <c r="H13" s="5">
        <f t="shared" si="1"/>
        <v>68.79697583</v>
      </c>
      <c r="I13" s="3">
        <v>-3.8111495640005</v>
      </c>
      <c r="J13" s="6">
        <f t="shared" si="2"/>
        <v>69.16703178</v>
      </c>
      <c r="K13" s="6">
        <f t="shared" si="3"/>
        <v>0.006916703178</v>
      </c>
      <c r="L13" s="6">
        <f t="shared" si="4"/>
        <v>1.005378957</v>
      </c>
      <c r="M13" s="6">
        <f t="shared" si="5"/>
        <v>0.9114953941</v>
      </c>
      <c r="N13" s="3"/>
      <c r="O13" s="3">
        <v>1.1</v>
      </c>
      <c r="P13" s="3">
        <v>5760.29473499283</v>
      </c>
      <c r="Q13" s="3">
        <v>790.778732851422</v>
      </c>
      <c r="R13" s="4">
        <v>-3.296507999E-12</v>
      </c>
      <c r="S13" s="4">
        <f t="shared" si="6"/>
        <v>625331.0043</v>
      </c>
      <c r="T13" s="3">
        <f t="shared" si="7"/>
        <v>790.7787329</v>
      </c>
      <c r="U13" s="3">
        <v>5738.01283251004</v>
      </c>
      <c r="V13" s="3">
        <v>508.48891504268</v>
      </c>
      <c r="W13" s="3">
        <v>-309.32180649813</v>
      </c>
      <c r="X13" s="3">
        <f t="shared" si="8"/>
        <v>354240.9567</v>
      </c>
      <c r="Y13" s="3">
        <f t="shared" si="9"/>
        <v>595.1814485</v>
      </c>
      <c r="AA13" s="3">
        <v>-8.0</v>
      </c>
      <c r="AB13" s="3">
        <v>3.0</v>
      </c>
      <c r="AC13" s="3">
        <v>26521.0417339</v>
      </c>
    </row>
    <row r="14" ht="12.75" customHeight="1">
      <c r="A14" s="3">
        <v>-88.0</v>
      </c>
      <c r="B14" s="3">
        <v>74.6170308838385</v>
      </c>
      <c r="C14" s="3"/>
      <c r="D14" s="3">
        <v>77.8476454221323</v>
      </c>
      <c r="E14" s="3">
        <v>-4.6340692306742</v>
      </c>
      <c r="F14" s="3">
        <v>3.03153277453013</v>
      </c>
      <c r="G14" s="4">
        <v>7.6635044396E-4</v>
      </c>
      <c r="H14" s="5">
        <f t="shared" si="1"/>
        <v>76.24587532</v>
      </c>
      <c r="I14" s="3">
        <v>-4.2241330586244</v>
      </c>
      <c r="J14" s="6">
        <f t="shared" si="2"/>
        <v>76.65581149</v>
      </c>
      <c r="K14" s="6">
        <f t="shared" si="3"/>
        <v>0.007665581149</v>
      </c>
      <c r="L14" s="6">
        <f t="shared" si="4"/>
        <v>1.005376503</v>
      </c>
      <c r="M14" s="6">
        <f t="shared" si="5"/>
        <v>0.9115386172</v>
      </c>
      <c r="N14" s="3"/>
      <c r="O14" s="3">
        <v>1.2</v>
      </c>
      <c r="P14" s="3">
        <v>5768.90600683681</v>
      </c>
      <c r="Q14" s="3">
        <v>898.905865856038</v>
      </c>
      <c r="R14" s="4">
        <v>-5.435388153E-12</v>
      </c>
      <c r="S14" s="4">
        <f t="shared" si="6"/>
        <v>808031.7557</v>
      </c>
      <c r="T14" s="3">
        <f t="shared" si="7"/>
        <v>898.9058659</v>
      </c>
      <c r="U14" s="3">
        <v>5738.60815559147</v>
      </c>
      <c r="V14" s="3">
        <v>574.868623344823</v>
      </c>
      <c r="W14" s="3">
        <v>-378.11689531902</v>
      </c>
      <c r="X14" s="3">
        <f t="shared" si="8"/>
        <v>473446.3206</v>
      </c>
      <c r="Y14" s="3">
        <f t="shared" si="9"/>
        <v>688.0743569</v>
      </c>
      <c r="AA14" s="3">
        <v>-8.0</v>
      </c>
      <c r="AB14" s="3">
        <v>4.0</v>
      </c>
      <c r="AC14" s="3">
        <v>26641.3301575</v>
      </c>
    </row>
    <row r="15" ht="12.75" customHeight="1">
      <c r="A15" s="3">
        <v>-87.0</v>
      </c>
      <c r="B15" s="3">
        <v>81.9640464686275</v>
      </c>
      <c r="C15" s="3"/>
      <c r="D15" s="3">
        <v>85.4678146559469</v>
      </c>
      <c r="E15" s="3">
        <v>-5.086932951403</v>
      </c>
      <c r="F15" s="3">
        <v>3.31317251851368</v>
      </c>
      <c r="G15" s="4">
        <v>7.2057950076E-4</v>
      </c>
      <c r="H15" s="5">
        <f t="shared" si="1"/>
        <v>83.6947748</v>
      </c>
      <c r="I15" s="3">
        <v>-4.6371165532483</v>
      </c>
      <c r="J15" s="6">
        <f t="shared" si="2"/>
        <v>84.1445912</v>
      </c>
      <c r="K15" s="6">
        <f t="shared" si="3"/>
        <v>0.00841445912</v>
      </c>
      <c r="L15" s="6">
        <f t="shared" si="4"/>
        <v>1.005374486</v>
      </c>
      <c r="M15" s="6">
        <f t="shared" si="5"/>
        <v>0.9115741445</v>
      </c>
      <c r="N15" s="3"/>
      <c r="O15" s="3">
        <v>1.3</v>
      </c>
      <c r="P15" s="3">
        <v>5779.9395048356</v>
      </c>
      <c r="Q15" s="3">
        <v>1023.78726452931</v>
      </c>
      <c r="R15" s="4">
        <v>-9.525603926E-12</v>
      </c>
      <c r="S15" s="4">
        <f t="shared" si="6"/>
        <v>1048140.363</v>
      </c>
      <c r="T15" s="3">
        <f t="shared" si="7"/>
        <v>1023.787265</v>
      </c>
      <c r="U15" s="3">
        <v>5740.97974781782</v>
      </c>
      <c r="V15" s="3">
        <v>640.031694242051</v>
      </c>
      <c r="W15" s="3">
        <v>-445.4337824852</v>
      </c>
      <c r="X15" s="3">
        <f t="shared" si="8"/>
        <v>608051.8242</v>
      </c>
      <c r="Y15" s="3">
        <f t="shared" si="9"/>
        <v>779.7767785</v>
      </c>
      <c r="AA15" s="3">
        <v>-8.0</v>
      </c>
      <c r="AB15" s="3">
        <v>5.0</v>
      </c>
      <c r="AC15" s="3">
        <v>27280.1232934</v>
      </c>
    </row>
    <row r="16" ht="12.75" customHeight="1">
      <c r="A16" s="3">
        <v>-86.0</v>
      </c>
      <c r="B16" s="3">
        <v>89.3110620534165</v>
      </c>
      <c r="C16" s="3"/>
      <c r="D16" s="3">
        <v>93.0879838897614</v>
      </c>
      <c r="E16" s="3">
        <v>-5.5397966721318</v>
      </c>
      <c r="F16" s="3">
        <v>3.59481226249723</v>
      </c>
      <c r="G16" s="4">
        <v>6.7480855756E-4</v>
      </c>
      <c r="H16" s="5">
        <f t="shared" si="1"/>
        <v>91.14367429</v>
      </c>
      <c r="I16" s="3">
        <v>-5.0501000478721</v>
      </c>
      <c r="J16" s="6">
        <f t="shared" si="2"/>
        <v>91.63337091</v>
      </c>
      <c r="K16" s="6">
        <f t="shared" si="3"/>
        <v>0.009163337091</v>
      </c>
      <c r="L16" s="6">
        <f t="shared" si="4"/>
        <v>1.005372799</v>
      </c>
      <c r="M16" s="6">
        <f t="shared" si="5"/>
        <v>0.9116038632</v>
      </c>
      <c r="N16" s="3"/>
      <c r="O16" s="3">
        <v>1.4</v>
      </c>
      <c r="P16" s="3">
        <v>5795.59528230996</v>
      </c>
      <c r="Q16" s="3">
        <v>1165.06006670572</v>
      </c>
      <c r="R16" s="4">
        <v>-1.010671728E-11</v>
      </c>
      <c r="S16" s="4">
        <f t="shared" si="6"/>
        <v>1357364.959</v>
      </c>
      <c r="T16" s="3">
        <f t="shared" si="7"/>
        <v>1165.060067</v>
      </c>
      <c r="U16" s="3">
        <v>5745.30072386895</v>
      </c>
      <c r="V16" s="3">
        <v>701.573350418321</v>
      </c>
      <c r="W16" s="3">
        <v>-508.3506888426</v>
      </c>
      <c r="X16" s="3">
        <f t="shared" si="8"/>
        <v>750625.5889</v>
      </c>
      <c r="Y16" s="3">
        <f t="shared" si="9"/>
        <v>866.3865124</v>
      </c>
      <c r="AA16" s="3">
        <v>-8.0</v>
      </c>
      <c r="AB16" s="3">
        <v>6.0</v>
      </c>
      <c r="AC16" s="3">
        <v>30320.3215118</v>
      </c>
    </row>
    <row r="17" ht="12.75" customHeight="1">
      <c r="A17" s="3">
        <v>-85.0</v>
      </c>
      <c r="B17" s="3">
        <v>96.6580776382055</v>
      </c>
      <c r="C17" s="3"/>
      <c r="D17" s="3">
        <v>100.708153123576</v>
      </c>
      <c r="E17" s="3">
        <v>-5.9926603928606</v>
      </c>
      <c r="F17" s="3">
        <v>3.87645200648078</v>
      </c>
      <c r="G17" s="4">
        <v>6.2903761436E-4</v>
      </c>
      <c r="H17" s="5">
        <f t="shared" si="1"/>
        <v>98.59257377</v>
      </c>
      <c r="I17" s="3">
        <v>-5.463083542496</v>
      </c>
      <c r="J17" s="6">
        <f t="shared" si="2"/>
        <v>99.12215063</v>
      </c>
      <c r="K17" s="6">
        <f t="shared" si="3"/>
        <v>0.009912215063</v>
      </c>
      <c r="L17" s="6">
        <f t="shared" si="4"/>
        <v>1.005371367</v>
      </c>
      <c r="M17" s="6">
        <f t="shared" si="5"/>
        <v>0.9116290903</v>
      </c>
      <c r="N17" s="3"/>
      <c r="O17" s="3">
        <v>1.5</v>
      </c>
      <c r="P17" s="3">
        <v>5816.13411437326</v>
      </c>
      <c r="Q17" s="3">
        <v>1310.44389558723</v>
      </c>
      <c r="R17" s="4">
        <v>-5.627504633E-12</v>
      </c>
      <c r="S17" s="4">
        <f t="shared" si="6"/>
        <v>1717263.203</v>
      </c>
      <c r="T17" s="3">
        <f t="shared" si="7"/>
        <v>1310.443896</v>
      </c>
      <c r="U17" s="3">
        <v>5752.90284114573</v>
      </c>
      <c r="V17" s="3">
        <v>772.97845134405</v>
      </c>
      <c r="W17" s="3">
        <v>-580.08805995395</v>
      </c>
      <c r="X17" s="3">
        <f t="shared" si="8"/>
        <v>933997.8435</v>
      </c>
      <c r="Y17" s="3">
        <f t="shared" si="9"/>
        <v>966.4356386</v>
      </c>
      <c r="AA17" s="3">
        <v>-8.0</v>
      </c>
      <c r="AB17" s="3">
        <v>7.0</v>
      </c>
      <c r="AC17" s="3">
        <v>36145.1641309</v>
      </c>
    </row>
    <row r="18" ht="12.75" customHeight="1">
      <c r="A18" s="3">
        <v>-84.0</v>
      </c>
      <c r="B18" s="3">
        <v>104.005093222995</v>
      </c>
      <c r="C18" s="3"/>
      <c r="D18" s="3">
        <v>108.32832235739</v>
      </c>
      <c r="E18" s="3">
        <v>-6.4455241135894</v>
      </c>
      <c r="F18" s="3">
        <v>4.15809175046432</v>
      </c>
      <c r="G18" s="4">
        <v>5.8326667116E-4</v>
      </c>
      <c r="H18" s="5">
        <f t="shared" si="1"/>
        <v>106.0414733</v>
      </c>
      <c r="I18" s="3">
        <v>-5.8760670371199</v>
      </c>
      <c r="J18" s="6">
        <f t="shared" si="2"/>
        <v>106.6109303</v>
      </c>
      <c r="K18" s="6">
        <f t="shared" si="3"/>
        <v>0.01066109303</v>
      </c>
      <c r="L18" s="6">
        <f t="shared" si="4"/>
        <v>1.005370135</v>
      </c>
      <c r="M18" s="6">
        <f t="shared" si="5"/>
        <v>0.9116507725</v>
      </c>
      <c r="N18" s="3"/>
      <c r="O18" s="3">
        <v>1.6</v>
      </c>
      <c r="P18" s="3">
        <v>5840.2405254947</v>
      </c>
      <c r="Q18" s="3">
        <v>1455.82772446874</v>
      </c>
      <c r="R18" s="4">
        <v>-1.14829199E-12</v>
      </c>
      <c r="S18" s="4">
        <f t="shared" si="6"/>
        <v>2119434.363</v>
      </c>
      <c r="T18" s="3">
        <f t="shared" si="7"/>
        <v>1455.827724</v>
      </c>
      <c r="U18" s="3">
        <v>5767.11882343419</v>
      </c>
      <c r="V18" s="3">
        <v>869.554333187733</v>
      </c>
      <c r="W18" s="3">
        <v>-688.57747881768</v>
      </c>
      <c r="X18" s="3">
        <f t="shared" si="8"/>
        <v>1230263.683</v>
      </c>
      <c r="Y18" s="3">
        <f t="shared" si="9"/>
        <v>1109.172522</v>
      </c>
      <c r="AA18" s="3">
        <v>-8.0</v>
      </c>
      <c r="AB18" s="3">
        <v>8.0</v>
      </c>
      <c r="AC18" s="3">
        <v>25396.1372608</v>
      </c>
    </row>
    <row r="19" ht="12.75" customHeight="1">
      <c r="A19" s="3">
        <v>-83.0</v>
      </c>
      <c r="B19" s="3">
        <v>111.352108807784</v>
      </c>
      <c r="C19" s="3"/>
      <c r="D19" s="3">
        <v>115.948491591205</v>
      </c>
      <c r="E19" s="3">
        <v>-6.8983878343182</v>
      </c>
      <c r="F19" s="3">
        <v>4.43973149444787</v>
      </c>
      <c r="G19" s="4">
        <v>5.3749572796E-4</v>
      </c>
      <c r="H19" s="5">
        <f t="shared" si="1"/>
        <v>113.4903727</v>
      </c>
      <c r="I19" s="3">
        <v>-6.2890505317437</v>
      </c>
      <c r="J19" s="6">
        <f t="shared" si="2"/>
        <v>114.09971</v>
      </c>
      <c r="K19" s="6">
        <f t="shared" si="3"/>
        <v>0.011409971</v>
      </c>
      <c r="L19" s="6">
        <f t="shared" si="4"/>
        <v>1.005369066</v>
      </c>
      <c r="M19" s="6">
        <f t="shared" si="5"/>
        <v>0.9116696079</v>
      </c>
      <c r="N19" s="3"/>
      <c r="O19" s="3">
        <v>1.7</v>
      </c>
      <c r="P19" s="3">
        <v>5867.87054680794</v>
      </c>
      <c r="Q19" s="3">
        <v>1601.21155335025</v>
      </c>
      <c r="R19" s="4">
        <v>3.3427795325E-12</v>
      </c>
      <c r="S19" s="4">
        <f t="shared" si="6"/>
        <v>2563878.439</v>
      </c>
      <c r="T19" s="3">
        <f t="shared" si="7"/>
        <v>1601.211553</v>
      </c>
      <c r="U19" s="3">
        <v>5783.35426282929</v>
      </c>
      <c r="V19" s="3">
        <v>962.211232350858</v>
      </c>
      <c r="W19" s="3">
        <v>-810.54285159453</v>
      </c>
      <c r="X19" s="3">
        <f t="shared" si="8"/>
        <v>1582830.17</v>
      </c>
      <c r="Y19" s="3">
        <f t="shared" si="9"/>
        <v>1258.105786</v>
      </c>
      <c r="AA19" s="3">
        <v>-7.0</v>
      </c>
      <c r="AB19" s="3">
        <v>-8.0</v>
      </c>
      <c r="AC19" s="3">
        <v>42215.389286</v>
      </c>
    </row>
    <row r="20" ht="12.75" customHeight="1">
      <c r="A20" s="3">
        <v>-82.0</v>
      </c>
      <c r="B20" s="3">
        <v>118.699124392573</v>
      </c>
      <c r="C20" s="3"/>
      <c r="D20" s="3">
        <v>123.56866082502</v>
      </c>
      <c r="E20" s="3">
        <v>-7.351251555047</v>
      </c>
      <c r="F20" s="3">
        <v>4.72137123843142</v>
      </c>
      <c r="G20" s="4">
        <v>4.9172478476E-4</v>
      </c>
      <c r="H20" s="5">
        <f t="shared" si="1"/>
        <v>120.9392722</v>
      </c>
      <c r="I20" s="3">
        <v>-6.7020340263676</v>
      </c>
      <c r="J20" s="6">
        <f t="shared" si="2"/>
        <v>121.5884898</v>
      </c>
      <c r="K20" s="6">
        <f t="shared" si="3"/>
        <v>0.01215884898</v>
      </c>
      <c r="L20" s="6">
        <f t="shared" si="4"/>
        <v>1.005368128</v>
      </c>
      <c r="M20" s="6">
        <f t="shared" si="5"/>
        <v>0.9116861226</v>
      </c>
      <c r="N20" s="3"/>
      <c r="O20" s="3">
        <v>1.8</v>
      </c>
      <c r="P20" s="3">
        <v>5906.23758179771</v>
      </c>
      <c r="Q20" s="3">
        <v>1779.68428513484</v>
      </c>
      <c r="R20" s="4">
        <v>1.5667143691E-11</v>
      </c>
      <c r="S20" s="4">
        <f t="shared" si="6"/>
        <v>3167276.155</v>
      </c>
      <c r="T20" s="3">
        <f t="shared" si="7"/>
        <v>1779.684285</v>
      </c>
      <c r="U20" s="3">
        <v>5803.62486245023</v>
      </c>
      <c r="V20" s="3">
        <v>1054.86813151398</v>
      </c>
      <c r="W20" s="3">
        <v>-932.50822437138</v>
      </c>
      <c r="X20" s="3">
        <f t="shared" si="8"/>
        <v>1982318.363</v>
      </c>
      <c r="Y20" s="3">
        <f t="shared" si="9"/>
        <v>1407.948282</v>
      </c>
      <c r="AA20" s="3">
        <v>-7.0</v>
      </c>
      <c r="AB20" s="3">
        <v>-7.0</v>
      </c>
      <c r="AC20" s="3">
        <v>39912.9245079</v>
      </c>
    </row>
    <row r="21" ht="12.75" customHeight="1">
      <c r="A21" s="3">
        <v>-81.0</v>
      </c>
      <c r="B21" s="3">
        <v>128.924214435127</v>
      </c>
      <c r="C21" s="3"/>
      <c r="D21" s="3">
        <v>134.150476851635</v>
      </c>
      <c r="E21" s="3">
        <v>-7.9842169385444</v>
      </c>
      <c r="F21" s="3">
        <v>5.11406771396663</v>
      </c>
      <c r="G21" s="4">
        <v>4.622738952E-4</v>
      </c>
      <c r="H21" s="5">
        <f t="shared" si="1"/>
        <v>131.2807899</v>
      </c>
      <c r="I21" s="3">
        <v>-7.2793040581269</v>
      </c>
      <c r="J21" s="6">
        <f t="shared" si="2"/>
        <v>131.9857028</v>
      </c>
      <c r="K21" s="6">
        <f t="shared" si="3"/>
        <v>0.01319857028</v>
      </c>
      <c r="L21" s="6">
        <f t="shared" si="4"/>
        <v>1.005369505</v>
      </c>
      <c r="M21" s="6">
        <f t="shared" si="5"/>
        <v>0.9117117075</v>
      </c>
      <c r="N21" s="3"/>
      <c r="O21" s="3">
        <v>1.9</v>
      </c>
      <c r="P21" s="3">
        <v>5951.59593689237</v>
      </c>
      <c r="Q21" s="3">
        <v>1965.52796700921</v>
      </c>
      <c r="R21" s="4">
        <v>2.979155847E-11</v>
      </c>
      <c r="S21" s="4">
        <f t="shared" si="6"/>
        <v>3863300.189</v>
      </c>
      <c r="T21" s="3">
        <f t="shared" si="7"/>
        <v>1965.527967</v>
      </c>
      <c r="U21" s="3">
        <v>5828.32504424083</v>
      </c>
      <c r="V21" s="3">
        <v>1145.8812449132</v>
      </c>
      <c r="W21" s="3">
        <v>-1053.5672679781</v>
      </c>
      <c r="X21" s="3">
        <f t="shared" si="8"/>
        <v>2423047.816</v>
      </c>
      <c r="Y21" s="3">
        <f t="shared" si="9"/>
        <v>1556.614215</v>
      </c>
      <c r="AA21" s="3">
        <v>-7.0</v>
      </c>
      <c r="AB21" s="3">
        <v>-6.0</v>
      </c>
      <c r="AC21" s="3">
        <v>30455.7634189</v>
      </c>
    </row>
    <row r="22" ht="12.75" customHeight="1">
      <c r="A22" s="3">
        <v>-80.0</v>
      </c>
      <c r="B22" s="3">
        <v>145.053497327833</v>
      </c>
      <c r="C22" s="3"/>
      <c r="D22" s="3">
        <v>150.807929236979</v>
      </c>
      <c r="E22" s="3">
        <v>-8.9866498133188</v>
      </c>
      <c r="F22" s="3">
        <v>5.73459024821244</v>
      </c>
      <c r="G22" s="4">
        <v>4.6630259256E-4</v>
      </c>
      <c r="H22" s="5">
        <f t="shared" si="1"/>
        <v>147.556336</v>
      </c>
      <c r="I22" s="3">
        <v>-8.1935978229984</v>
      </c>
      <c r="J22" s="6">
        <f t="shared" si="2"/>
        <v>148.349388</v>
      </c>
      <c r="K22" s="6">
        <f t="shared" si="3"/>
        <v>0.0148349388</v>
      </c>
      <c r="L22" s="6">
        <f t="shared" si="4"/>
        <v>1.005374571</v>
      </c>
      <c r="M22" s="6">
        <f t="shared" si="5"/>
        <v>0.9117522095</v>
      </c>
      <c r="N22" s="3"/>
      <c r="O22" s="3">
        <v>2.0</v>
      </c>
      <c r="P22" s="3">
        <v>6002.4009498939</v>
      </c>
      <c r="Q22" s="3">
        <v>2151.37164888358</v>
      </c>
      <c r="R22" s="4">
        <v>4.3878024834E-11</v>
      </c>
      <c r="S22" s="4">
        <f t="shared" si="6"/>
        <v>4628399.972</v>
      </c>
      <c r="T22" s="3">
        <f t="shared" si="7"/>
        <v>2151.371649</v>
      </c>
      <c r="U22" s="3">
        <v>5856.52478833406</v>
      </c>
      <c r="V22" s="3">
        <v>1241.37616716963</v>
      </c>
      <c r="W22" s="3">
        <v>-1166.1845901245</v>
      </c>
      <c r="X22" s="3">
        <f t="shared" si="8"/>
        <v>2901001.287</v>
      </c>
      <c r="Y22" s="3">
        <f t="shared" si="9"/>
        <v>1703.232599</v>
      </c>
      <c r="AA22" s="3">
        <v>-7.0</v>
      </c>
      <c r="AB22" s="3">
        <v>-5.0</v>
      </c>
      <c r="AC22" s="3">
        <v>25922.2645969</v>
      </c>
    </row>
    <row r="23" ht="12.75" customHeight="1">
      <c r="A23" s="3">
        <v>-79.0</v>
      </c>
      <c r="B23" s="3">
        <v>161.182780220539</v>
      </c>
      <c r="C23" s="3"/>
      <c r="D23" s="3">
        <v>167.465381622322</v>
      </c>
      <c r="E23" s="3">
        <v>-9.9890826880931</v>
      </c>
      <c r="F23" s="3">
        <v>6.35511278245825</v>
      </c>
      <c r="G23" s="4">
        <v>4.7033128991E-4</v>
      </c>
      <c r="H23" s="5">
        <f t="shared" si="1"/>
        <v>163.831882</v>
      </c>
      <c r="I23" s="3">
        <v>-9.1078915878699</v>
      </c>
      <c r="J23" s="6">
        <f t="shared" si="2"/>
        <v>164.7130731</v>
      </c>
      <c r="K23" s="6">
        <f t="shared" si="3"/>
        <v>0.01647130731</v>
      </c>
      <c r="L23" s="6">
        <f t="shared" si="4"/>
        <v>1.00537863</v>
      </c>
      <c r="M23" s="6">
        <f t="shared" si="5"/>
        <v>0.9117845825</v>
      </c>
      <c r="N23" s="3"/>
      <c r="O23" s="3">
        <v>2.1</v>
      </c>
      <c r="P23" s="3">
        <v>6058.82641847561</v>
      </c>
      <c r="Q23" s="3">
        <v>2337.43855261374</v>
      </c>
      <c r="R23" s="4">
        <v>5.1545679976E-11</v>
      </c>
      <c r="S23" s="4">
        <f t="shared" si="6"/>
        <v>5463618.987</v>
      </c>
      <c r="T23" s="3">
        <f t="shared" si="7"/>
        <v>2337.438553</v>
      </c>
      <c r="U23" s="3">
        <v>5887.96547875472</v>
      </c>
      <c r="V23" s="3">
        <v>1339.84154904399</v>
      </c>
      <c r="W23" s="3">
        <v>-1274.8859316684</v>
      </c>
      <c r="X23" s="3">
        <f t="shared" si="8"/>
        <v>3420509.515</v>
      </c>
      <c r="Y23" s="3">
        <f t="shared" si="9"/>
        <v>1849.461953</v>
      </c>
      <c r="AA23" s="3">
        <v>-7.0</v>
      </c>
      <c r="AB23" s="3">
        <v>-4.0</v>
      </c>
      <c r="AC23" s="3">
        <v>23794.3401041</v>
      </c>
    </row>
    <row r="24" ht="12.75" customHeight="1">
      <c r="A24" s="3">
        <v>-78.0</v>
      </c>
      <c r="B24" s="3">
        <v>177.312063113245</v>
      </c>
      <c r="C24" s="3"/>
      <c r="D24" s="3">
        <v>184.122834007666</v>
      </c>
      <c r="E24" s="3">
        <v>-10.991515562867</v>
      </c>
      <c r="F24" s="3">
        <v>6.97563531670406</v>
      </c>
      <c r="G24" s="4">
        <v>4.7435998727E-4</v>
      </c>
      <c r="H24" s="5">
        <f t="shared" si="1"/>
        <v>180.1074281</v>
      </c>
      <c r="I24" s="3">
        <v>-10.022185352741</v>
      </c>
      <c r="J24" s="6">
        <f t="shared" si="2"/>
        <v>181.0767583</v>
      </c>
      <c r="K24" s="6">
        <f t="shared" si="3"/>
        <v>0.01810767583</v>
      </c>
      <c r="L24" s="6">
        <f t="shared" si="4"/>
        <v>1.005381956</v>
      </c>
      <c r="M24" s="6">
        <f t="shared" si="5"/>
        <v>0.9118110506</v>
      </c>
      <c r="N24" s="3"/>
      <c r="O24" s="3">
        <v>2.2</v>
      </c>
      <c r="P24" s="3">
        <v>6121.2350746971</v>
      </c>
      <c r="Q24" s="3">
        <v>2524.08382335896</v>
      </c>
      <c r="R24" s="4">
        <v>4.2634341665E-11</v>
      </c>
      <c r="S24" s="4">
        <f t="shared" si="6"/>
        <v>6370999.147</v>
      </c>
      <c r="T24" s="3">
        <f t="shared" si="7"/>
        <v>2524.083823</v>
      </c>
      <c r="U24" s="3">
        <v>5931.16478275542</v>
      </c>
      <c r="V24" s="3">
        <v>1454.05604349798</v>
      </c>
      <c r="W24" s="3">
        <v>-1402.2510037733</v>
      </c>
      <c r="X24" s="3">
        <f t="shared" si="8"/>
        <v>4080586.855</v>
      </c>
      <c r="Y24" s="3">
        <f t="shared" si="9"/>
        <v>2020.046251</v>
      </c>
      <c r="AA24" s="3">
        <v>-7.0</v>
      </c>
      <c r="AB24" s="3">
        <v>-3.0</v>
      </c>
      <c r="AC24" s="3">
        <v>22994.764155</v>
      </c>
    </row>
    <row r="25" ht="12.75" customHeight="1">
      <c r="A25" s="3">
        <v>-77.0</v>
      </c>
      <c r="B25" s="3">
        <v>193.44134600595</v>
      </c>
      <c r="C25" s="3"/>
      <c r="D25" s="3">
        <v>200.78028639301</v>
      </c>
      <c r="E25" s="3">
        <v>-11.993948437642</v>
      </c>
      <c r="F25" s="3">
        <v>7.59615785094987</v>
      </c>
      <c r="G25" s="4">
        <v>4.7838868463E-4</v>
      </c>
      <c r="H25" s="5">
        <f t="shared" si="1"/>
        <v>196.3829742</v>
      </c>
      <c r="I25" s="3">
        <v>-10.936479117613</v>
      </c>
      <c r="J25" s="6">
        <f t="shared" si="2"/>
        <v>197.4404435</v>
      </c>
      <c r="K25" s="6">
        <f t="shared" si="3"/>
        <v>0.01974404435</v>
      </c>
      <c r="L25" s="6">
        <f t="shared" si="4"/>
        <v>1.00538473</v>
      </c>
      <c r="M25" s="6">
        <f t="shared" si="5"/>
        <v>0.9118330944</v>
      </c>
      <c r="N25" s="3"/>
      <c r="O25" s="3">
        <v>2.3</v>
      </c>
      <c r="P25" s="3">
        <v>6188.67358647249</v>
      </c>
      <c r="Q25" s="3">
        <v>2710.72909410417</v>
      </c>
      <c r="R25" s="4">
        <v>3.3721717763E-11</v>
      </c>
      <c r="S25" s="4">
        <f t="shared" si="6"/>
        <v>7348052.222</v>
      </c>
      <c r="T25" s="3">
        <f t="shared" si="7"/>
        <v>2710.729094</v>
      </c>
      <c r="U25" s="3">
        <v>5979.0398863552</v>
      </c>
      <c r="V25" s="3">
        <v>1563.25461237225</v>
      </c>
      <c r="W25" s="3">
        <v>-1551.1684334569</v>
      </c>
      <c r="X25" s="3">
        <f t="shared" si="8"/>
        <v>4849888.492</v>
      </c>
      <c r="Y25" s="3">
        <f t="shared" si="9"/>
        <v>2202.246238</v>
      </c>
      <c r="AA25" s="3">
        <v>-7.0</v>
      </c>
      <c r="AB25" s="3">
        <v>-2.0</v>
      </c>
      <c r="AC25" s="3">
        <v>22779.6718283</v>
      </c>
    </row>
    <row r="26" ht="12.75" customHeight="1">
      <c r="A26" s="3">
        <v>-76.0</v>
      </c>
      <c r="B26" s="3">
        <v>216.455662354392</v>
      </c>
      <c r="C26" s="3"/>
      <c r="D26" s="3">
        <v>224.500588382944</v>
      </c>
      <c r="E26" s="3">
        <v>-13.431190707773</v>
      </c>
      <c r="F26" s="3">
        <v>8.48438531392844</v>
      </c>
      <c r="G26" s="4">
        <v>2.4160565847E-4</v>
      </c>
      <c r="H26" s="5">
        <f t="shared" si="1"/>
        <v>219.5540246</v>
      </c>
      <c r="I26" s="3">
        <v>-12.24712742675</v>
      </c>
      <c r="J26" s="6">
        <f t="shared" si="2"/>
        <v>220.7380879</v>
      </c>
      <c r="K26" s="6">
        <f t="shared" si="3"/>
        <v>0.02207380879</v>
      </c>
      <c r="L26" s="6">
        <f t="shared" si="4"/>
        <v>1.005393038</v>
      </c>
      <c r="M26" s="6">
        <f t="shared" si="5"/>
        <v>0.9118422702</v>
      </c>
      <c r="N26" s="3"/>
      <c r="O26" s="3">
        <v>2.4</v>
      </c>
      <c r="P26" s="3">
        <v>6273.49676161632</v>
      </c>
      <c r="Q26" s="3">
        <v>2939.95900396888</v>
      </c>
      <c r="R26" s="4">
        <v>4.489073953E-11</v>
      </c>
      <c r="S26" s="4">
        <f t="shared" si="6"/>
        <v>8643358.945</v>
      </c>
      <c r="T26" s="3">
        <f t="shared" si="7"/>
        <v>2939.959004</v>
      </c>
      <c r="U26" s="3">
        <v>6034.04138145528</v>
      </c>
      <c r="V26" s="3">
        <v>1672.70068297589</v>
      </c>
      <c r="W26" s="3">
        <v>-1705.5565568513</v>
      </c>
      <c r="X26" s="3">
        <f t="shared" si="8"/>
        <v>5706850.743</v>
      </c>
      <c r="Y26" s="3">
        <f t="shared" si="9"/>
        <v>2388.901577</v>
      </c>
      <c r="AA26" s="3">
        <v>-7.0</v>
      </c>
      <c r="AB26" s="3">
        <v>-1.0</v>
      </c>
      <c r="AC26" s="3">
        <v>22729.8212334</v>
      </c>
    </row>
    <row r="27" ht="12.75" customHeight="1">
      <c r="A27" s="3">
        <v>-75.0</v>
      </c>
      <c r="B27" s="3">
        <v>250.55985776557</v>
      </c>
      <c r="C27" s="3"/>
      <c r="D27" s="3">
        <v>259.597181927125</v>
      </c>
      <c r="E27" s="3">
        <v>-15.568790302359</v>
      </c>
      <c r="F27" s="3">
        <v>9.80381115861874</v>
      </c>
      <c r="G27" s="4">
        <v>-3.830582557E-4</v>
      </c>
      <c r="H27" s="5">
        <f t="shared" si="1"/>
        <v>253.8318197</v>
      </c>
      <c r="I27" s="3">
        <v>-14.196192962199</v>
      </c>
      <c r="J27" s="6">
        <f t="shared" si="2"/>
        <v>255.2044171</v>
      </c>
      <c r="K27" s="6">
        <f t="shared" si="3"/>
        <v>0.02552044171</v>
      </c>
      <c r="L27" s="6">
        <f t="shared" si="4"/>
        <v>1.005407507</v>
      </c>
      <c r="M27" s="6">
        <f t="shared" si="5"/>
        <v>0.9118366094</v>
      </c>
      <c r="N27" s="3"/>
      <c r="O27" s="3">
        <v>2.5</v>
      </c>
      <c r="P27" s="3">
        <v>6366.15196028944</v>
      </c>
      <c r="Q27" s="3">
        <v>3171.10328358754</v>
      </c>
      <c r="R27" s="4">
        <v>5.7044784665E-11</v>
      </c>
      <c r="S27" s="4">
        <f t="shared" si="6"/>
        <v>10055896.04</v>
      </c>
      <c r="T27" s="3">
        <f t="shared" si="7"/>
        <v>3171.103284</v>
      </c>
      <c r="U27" s="3">
        <v>6095.64616908431</v>
      </c>
      <c r="V27" s="3">
        <v>1784.55976125264</v>
      </c>
      <c r="W27" s="3">
        <v>-1859.0512203532</v>
      </c>
      <c r="X27" s="3">
        <f t="shared" si="8"/>
        <v>6640724.981</v>
      </c>
      <c r="Y27" s="3">
        <f t="shared" si="9"/>
        <v>2576.960415</v>
      </c>
      <c r="AA27" s="3">
        <v>-7.0</v>
      </c>
      <c r="AB27" s="3">
        <v>0.0</v>
      </c>
      <c r="AC27" s="3">
        <v>22805.7815213</v>
      </c>
    </row>
    <row r="28" ht="12.75" customHeight="1">
      <c r="A28" s="3">
        <v>-74.0</v>
      </c>
      <c r="B28" s="3">
        <v>284.664053176747</v>
      </c>
      <c r="C28" s="3"/>
      <c r="D28" s="3">
        <v>294.693775471307</v>
      </c>
      <c r="E28" s="3">
        <v>-17.706389896946</v>
      </c>
      <c r="F28" s="3">
        <v>11.123237003309</v>
      </c>
      <c r="G28" s="4">
        <v>-0.00100772217</v>
      </c>
      <c r="H28" s="5">
        <f t="shared" si="1"/>
        <v>288.1096149</v>
      </c>
      <c r="I28" s="3">
        <v>-16.145258497648</v>
      </c>
      <c r="J28" s="6">
        <f t="shared" si="2"/>
        <v>289.6707463</v>
      </c>
      <c r="K28" s="6">
        <f t="shared" si="3"/>
        <v>0.02896707463</v>
      </c>
      <c r="L28" s="6">
        <f t="shared" si="4"/>
        <v>1.005418533</v>
      </c>
      <c r="M28" s="6">
        <f t="shared" si="5"/>
        <v>0.9118323154</v>
      </c>
      <c r="N28" s="3"/>
      <c r="O28" s="3">
        <v>2.6</v>
      </c>
      <c r="P28" s="3">
        <v>6465.98228051357</v>
      </c>
      <c r="Q28" s="3">
        <v>3402.38428519805</v>
      </c>
      <c r="R28" s="4">
        <v>6.8879647481E-11</v>
      </c>
      <c r="S28" s="4">
        <f t="shared" si="6"/>
        <v>11576218.82</v>
      </c>
      <c r="T28" s="3">
        <f t="shared" si="7"/>
        <v>3402.384285</v>
      </c>
      <c r="U28" s="3">
        <v>6162.53714906082</v>
      </c>
      <c r="V28" s="3">
        <v>1896.41883952938</v>
      </c>
      <c r="W28" s="3">
        <v>-2012.5458838551</v>
      </c>
      <c r="X28" s="3">
        <f t="shared" si="8"/>
        <v>7646745.35</v>
      </c>
      <c r="Y28" s="3">
        <f t="shared" si="9"/>
        <v>2765.274914</v>
      </c>
      <c r="AA28" s="3">
        <v>-7.0</v>
      </c>
      <c r="AB28" s="3">
        <v>1.0</v>
      </c>
      <c r="AC28" s="3">
        <v>19343.9190018</v>
      </c>
    </row>
    <row r="29" ht="12.75" customHeight="1">
      <c r="A29" s="3">
        <v>-73.0</v>
      </c>
      <c r="B29" s="3">
        <v>318.768248587924</v>
      </c>
      <c r="C29" s="3"/>
      <c r="D29" s="3">
        <v>329.790369015488</v>
      </c>
      <c r="E29" s="3">
        <v>-19.843989491533</v>
      </c>
      <c r="F29" s="3">
        <v>12.4426628479993</v>
      </c>
      <c r="G29" s="4">
        <v>-0.001632386084</v>
      </c>
      <c r="H29" s="5">
        <f t="shared" si="1"/>
        <v>322.38741</v>
      </c>
      <c r="I29" s="3">
        <v>-18.094324033097</v>
      </c>
      <c r="J29" s="6">
        <f t="shared" si="2"/>
        <v>324.1370754</v>
      </c>
      <c r="K29" s="6">
        <f t="shared" si="3"/>
        <v>0.03241370754</v>
      </c>
      <c r="L29" s="6">
        <f t="shared" si="4"/>
        <v>1.005427214</v>
      </c>
      <c r="M29" s="6">
        <f t="shared" si="5"/>
        <v>0.9118289465</v>
      </c>
      <c r="N29" s="3"/>
      <c r="O29" s="3">
        <v>2.7</v>
      </c>
      <c r="P29" s="3">
        <v>6578.75167672883</v>
      </c>
      <c r="Q29" s="3">
        <v>3638.86381285091</v>
      </c>
      <c r="R29" s="4">
        <v>7.0142576352E-11</v>
      </c>
      <c r="S29" s="4">
        <f t="shared" si="6"/>
        <v>13241329.85</v>
      </c>
      <c r="T29" s="3">
        <f t="shared" si="7"/>
        <v>3638.863813</v>
      </c>
      <c r="U29" s="3">
        <v>6248.97369173755</v>
      </c>
      <c r="V29" s="3">
        <v>2039.89537208992</v>
      </c>
      <c r="W29" s="3">
        <v>-2192.2283856134</v>
      </c>
      <c r="X29" s="3">
        <f t="shared" si="8"/>
        <v>8967038.424</v>
      </c>
      <c r="Y29" s="3">
        <f t="shared" si="9"/>
        <v>2994.501365</v>
      </c>
      <c r="AA29" s="3">
        <v>-7.0</v>
      </c>
      <c r="AB29" s="3">
        <v>2.0</v>
      </c>
      <c r="AC29" s="3">
        <v>20344.7951069</v>
      </c>
    </row>
    <row r="30" ht="12.75" customHeight="1">
      <c r="A30" s="3">
        <v>-72.0</v>
      </c>
      <c r="B30" s="3">
        <v>352.872443999102</v>
      </c>
      <c r="C30" s="3"/>
      <c r="D30" s="3">
        <v>364.88696255967</v>
      </c>
      <c r="E30" s="3">
        <v>-21.981589086119</v>
      </c>
      <c r="F30" s="3">
        <v>13.7620886926896</v>
      </c>
      <c r="G30" s="4">
        <v>-0.002257049998</v>
      </c>
      <c r="H30" s="5">
        <f t="shared" si="1"/>
        <v>356.6652051</v>
      </c>
      <c r="I30" s="3">
        <v>-20.043389568546</v>
      </c>
      <c r="J30" s="6">
        <f t="shared" si="2"/>
        <v>358.6034046</v>
      </c>
      <c r="K30" s="6">
        <f t="shared" si="3"/>
        <v>0.03586034046</v>
      </c>
      <c r="L30" s="6">
        <f t="shared" si="4"/>
        <v>1.005434227</v>
      </c>
      <c r="M30" s="6">
        <f t="shared" si="5"/>
        <v>0.9118262329</v>
      </c>
      <c r="N30" s="3"/>
      <c r="O30" s="3">
        <v>2.8</v>
      </c>
      <c r="P30" s="3">
        <v>6698.02137859592</v>
      </c>
      <c r="Q30" s="3">
        <v>3875.34334050376</v>
      </c>
      <c r="R30" s="4">
        <v>7.1392258726E-11</v>
      </c>
      <c r="S30" s="4">
        <f t="shared" si="6"/>
        <v>15018286.01</v>
      </c>
      <c r="T30" s="3">
        <f t="shared" si="7"/>
        <v>3875.343341</v>
      </c>
      <c r="U30" s="3">
        <v>6343.82039838356</v>
      </c>
      <c r="V30" s="3">
        <v>2185.70650707876</v>
      </c>
      <c r="W30" s="3">
        <v>-2373.8445721723</v>
      </c>
      <c r="X30" s="3">
        <f t="shared" si="8"/>
        <v>10412450.99</v>
      </c>
      <c r="Y30" s="3">
        <f t="shared" si="9"/>
        <v>3226.832966</v>
      </c>
      <c r="AA30" s="3">
        <v>-7.0</v>
      </c>
      <c r="AB30" s="3">
        <v>3.0</v>
      </c>
      <c r="AC30" s="3">
        <v>21795.6927958</v>
      </c>
    </row>
    <row r="31" ht="12.75" customHeight="1">
      <c r="A31" s="3">
        <v>-71.0</v>
      </c>
      <c r="B31" s="3">
        <v>410.206023981859</v>
      </c>
      <c r="C31" s="3"/>
      <c r="D31" s="3">
        <v>423.837767367518</v>
      </c>
      <c r="E31" s="3">
        <v>-25.582973562712</v>
      </c>
      <c r="F31" s="3">
        <v>15.9841624778431</v>
      </c>
      <c r="G31" s="4">
        <v>-0.003392988325</v>
      </c>
      <c r="H31" s="5">
        <f t="shared" si="1"/>
        <v>414.2355633</v>
      </c>
      <c r="I31" s="3">
        <v>-23.327040476127</v>
      </c>
      <c r="J31" s="6">
        <f t="shared" si="2"/>
        <v>416.4914964</v>
      </c>
      <c r="K31" s="6">
        <f t="shared" si="3"/>
        <v>0.04164914964</v>
      </c>
      <c r="L31" s="6">
        <f t="shared" si="4"/>
        <v>1.005446015</v>
      </c>
      <c r="M31" s="6">
        <f t="shared" si="5"/>
        <v>0.911818965</v>
      </c>
      <c r="N31" s="3"/>
      <c r="O31" s="3">
        <v>2.9</v>
      </c>
      <c r="P31" s="3">
        <v>6832.30398653571</v>
      </c>
      <c r="Q31" s="3">
        <v>4130.01269485462</v>
      </c>
      <c r="R31" s="4">
        <v>6.5831709796E-11</v>
      </c>
      <c r="S31" s="4">
        <f t="shared" si="6"/>
        <v>17057004.86</v>
      </c>
      <c r="T31" s="3">
        <f t="shared" si="7"/>
        <v>4130.012695</v>
      </c>
      <c r="U31" s="3">
        <v>6445.92610565465</v>
      </c>
      <c r="V31" s="3">
        <v>2331.66512148453</v>
      </c>
      <c r="W31" s="3">
        <v>-2555.5819634183</v>
      </c>
      <c r="X31" s="3">
        <f t="shared" si="8"/>
        <v>11967661.41</v>
      </c>
      <c r="Y31" s="3">
        <f t="shared" si="9"/>
        <v>3459.430793</v>
      </c>
      <c r="AA31" s="3">
        <v>-7.0</v>
      </c>
      <c r="AB31" s="3">
        <v>4.0</v>
      </c>
      <c r="AC31" s="3">
        <v>23766.5240225</v>
      </c>
    </row>
    <row r="32" ht="12.75" customHeight="1">
      <c r="A32" s="3">
        <v>-70.0</v>
      </c>
      <c r="B32" s="3">
        <v>497.302134661427</v>
      </c>
      <c r="C32" s="3"/>
      <c r="D32" s="3">
        <v>513.351658889758</v>
      </c>
      <c r="E32" s="3">
        <v>-31.059824965688</v>
      </c>
      <c r="F32" s="3">
        <v>19.3627493403733</v>
      </c>
      <c r="G32" s="4">
        <v>-0.00518399439</v>
      </c>
      <c r="H32" s="5">
        <f t="shared" si="1"/>
        <v>501.6493993</v>
      </c>
      <c r="I32" s="3">
        <v>-28.320622095957</v>
      </c>
      <c r="J32" s="6">
        <f t="shared" si="2"/>
        <v>504.3886021</v>
      </c>
      <c r="K32" s="6">
        <f t="shared" si="3"/>
        <v>0.05043886021</v>
      </c>
      <c r="L32" s="6">
        <f t="shared" si="4"/>
        <v>1.005460393</v>
      </c>
      <c r="M32" s="6">
        <f t="shared" si="5"/>
        <v>0.9118088118</v>
      </c>
      <c r="N32" s="3"/>
      <c r="O32" s="3">
        <v>3.0</v>
      </c>
      <c r="P32" s="3">
        <v>6985.88593878895</v>
      </c>
      <c r="Q32" s="3">
        <v>4408.94163408002</v>
      </c>
      <c r="R32" s="4">
        <v>5.0786567783E-11</v>
      </c>
      <c r="S32" s="4">
        <f t="shared" si="6"/>
        <v>19438766.33</v>
      </c>
      <c r="T32" s="3">
        <f t="shared" si="7"/>
        <v>4408.941634</v>
      </c>
      <c r="U32" s="3">
        <v>6558.81005158296</v>
      </c>
      <c r="V32" s="3">
        <v>2481.36851490293</v>
      </c>
      <c r="W32" s="3">
        <v>-2740.3969690032</v>
      </c>
      <c r="X32" s="3">
        <f t="shared" si="8"/>
        <v>13666965.25</v>
      </c>
      <c r="Y32" s="3">
        <f t="shared" si="9"/>
        <v>3696.885886</v>
      </c>
      <c r="AA32" s="3">
        <v>-7.0</v>
      </c>
      <c r="AB32" s="3">
        <v>5.0</v>
      </c>
      <c r="AC32" s="3">
        <v>26944.3178902</v>
      </c>
    </row>
    <row r="33" ht="12.75" customHeight="1">
      <c r="A33" s="3">
        <v>-69.0</v>
      </c>
      <c r="B33" s="3">
        <v>584.398245340995</v>
      </c>
      <c r="C33" s="3"/>
      <c r="D33" s="3">
        <v>602.865550411997</v>
      </c>
      <c r="E33" s="3">
        <v>-36.536676368664</v>
      </c>
      <c r="F33" s="3">
        <v>22.7413362029036</v>
      </c>
      <c r="G33" s="4">
        <v>-0.006975000455</v>
      </c>
      <c r="H33" s="5">
        <f t="shared" si="1"/>
        <v>589.0632352</v>
      </c>
      <c r="I33" s="3">
        <v>-33.314203715786</v>
      </c>
      <c r="J33" s="6">
        <f t="shared" si="2"/>
        <v>592.2857079</v>
      </c>
      <c r="K33" s="6">
        <f t="shared" si="3"/>
        <v>0.05922857079</v>
      </c>
      <c r="L33" s="6">
        <f t="shared" si="4"/>
        <v>1.005470504</v>
      </c>
      <c r="M33" s="6">
        <f t="shared" si="5"/>
        <v>0.9118017025</v>
      </c>
      <c r="N33" s="3"/>
      <c r="O33" s="3">
        <v>3.1</v>
      </c>
      <c r="P33" s="3">
        <v>7147.13729958758</v>
      </c>
      <c r="Q33" s="3">
        <v>4687.87057330541</v>
      </c>
      <c r="R33" s="4">
        <v>3.5900383728E-11</v>
      </c>
      <c r="S33" s="4">
        <f t="shared" si="6"/>
        <v>21976130.51</v>
      </c>
      <c r="T33" s="3">
        <f t="shared" si="7"/>
        <v>4687.870573</v>
      </c>
      <c r="U33" s="3">
        <v>6677.49245344996</v>
      </c>
      <c r="V33" s="3">
        <v>2622.17815372677</v>
      </c>
      <c r="W33" s="3">
        <v>-2934.8585146264</v>
      </c>
      <c r="X33" s="3">
        <f t="shared" si="8"/>
        <v>15489212.77</v>
      </c>
      <c r="Y33" s="3">
        <f t="shared" si="9"/>
        <v>3935.633719</v>
      </c>
      <c r="AA33" s="3">
        <v>-7.0</v>
      </c>
      <c r="AB33" s="3">
        <v>6.0</v>
      </c>
      <c r="AC33" s="3">
        <v>32082.2867599</v>
      </c>
    </row>
    <row r="34" ht="12.75" customHeight="1">
      <c r="A34" s="3">
        <v>-68.0</v>
      </c>
      <c r="B34" s="3">
        <v>700.924273243977</v>
      </c>
      <c r="C34" s="3"/>
      <c r="D34" s="3">
        <v>722.471273154852</v>
      </c>
      <c r="E34" s="3">
        <v>-43.889449443176</v>
      </c>
      <c r="F34" s="3">
        <v>27.2746725899714</v>
      </c>
      <c r="G34" s="4">
        <v>-0.0092704312</v>
      </c>
      <c r="H34" s="5">
        <f t="shared" si="1"/>
        <v>705.8472259</v>
      </c>
      <c r="I34" s="3">
        <v>-40.018337973122</v>
      </c>
      <c r="J34" s="6">
        <f t="shared" si="2"/>
        <v>709.7183373</v>
      </c>
      <c r="K34" s="6">
        <f t="shared" si="3"/>
        <v>0.07097183373</v>
      </c>
      <c r="L34" s="6">
        <f t="shared" si="4"/>
        <v>1.005484348</v>
      </c>
      <c r="M34" s="6">
        <f t="shared" si="5"/>
        <v>0.9117985867</v>
      </c>
      <c r="N34" s="3"/>
      <c r="O34" s="3">
        <v>3.2</v>
      </c>
      <c r="P34" s="3">
        <v>7315.55093295047</v>
      </c>
      <c r="Q34" s="3">
        <v>4966.79951253081</v>
      </c>
      <c r="R34" s="4">
        <v>2.0908227701E-11</v>
      </c>
      <c r="S34" s="4">
        <f t="shared" si="6"/>
        <v>24669097.4</v>
      </c>
      <c r="T34" s="3">
        <f t="shared" si="7"/>
        <v>4966.799513</v>
      </c>
      <c r="U34" s="3">
        <v>6803.27365920272</v>
      </c>
      <c r="V34" s="3">
        <v>2754.46261413298</v>
      </c>
      <c r="W34" s="3">
        <v>-3145.0297449094</v>
      </c>
      <c r="X34" s="3">
        <f t="shared" si="8"/>
        <v>17478276.39</v>
      </c>
      <c r="Y34" s="3">
        <f t="shared" si="9"/>
        <v>4180.702858</v>
      </c>
      <c r="AA34" s="3">
        <v>-7.0</v>
      </c>
      <c r="AB34" s="3">
        <v>7.0</v>
      </c>
      <c r="AC34" s="3">
        <v>41342.6747272</v>
      </c>
    </row>
    <row r="35" ht="12.75" customHeight="1">
      <c r="A35" s="3">
        <v>-67.0</v>
      </c>
      <c r="B35" s="3">
        <v>818.485573573825</v>
      </c>
      <c r="C35" s="3"/>
      <c r="D35" s="3">
        <v>843.135552838256</v>
      </c>
      <c r="E35" s="3">
        <v>-51.308212848778</v>
      </c>
      <c r="F35" s="3">
        <v>31.8486302378336</v>
      </c>
      <c r="G35" s="3">
        <v>-0.0115836063701</v>
      </c>
      <c r="H35" s="5">
        <f t="shared" si="1"/>
        <v>823.6643866</v>
      </c>
      <c r="I35" s="3">
        <v>-46.782645283846</v>
      </c>
      <c r="J35" s="6">
        <f t="shared" si="2"/>
        <v>828.1899542</v>
      </c>
      <c r="K35" s="6">
        <f t="shared" si="3"/>
        <v>0.08281899542</v>
      </c>
      <c r="L35" s="6">
        <f t="shared" si="4"/>
        <v>1.005494432</v>
      </c>
      <c r="M35" s="6">
        <f t="shared" si="5"/>
        <v>0.9117964296</v>
      </c>
      <c r="N35" s="3"/>
      <c r="O35" s="3">
        <v>3.3</v>
      </c>
      <c r="P35" s="3">
        <v>7490.03174437905</v>
      </c>
      <c r="Q35" s="3">
        <v>5243.02320233481</v>
      </c>
      <c r="R35" s="4">
        <v>8.4700695968E-12</v>
      </c>
      <c r="S35" s="4">
        <f t="shared" si="6"/>
        <v>27489292.3</v>
      </c>
      <c r="T35" s="3">
        <f t="shared" si="7"/>
        <v>5243.023202</v>
      </c>
      <c r="U35" s="3">
        <v>6940.94225061844</v>
      </c>
      <c r="V35" s="3">
        <v>2909.33384431862</v>
      </c>
      <c r="W35" s="3">
        <v>-3347.389397113</v>
      </c>
      <c r="X35" s="3">
        <f t="shared" si="8"/>
        <v>19669239.19</v>
      </c>
      <c r="Y35" s="3">
        <f t="shared" si="9"/>
        <v>4435.0016</v>
      </c>
      <c r="AA35" s="3">
        <v>-7.0</v>
      </c>
      <c r="AB35" s="3">
        <v>8.0</v>
      </c>
      <c r="AC35" s="3">
        <v>42998.4063994</v>
      </c>
    </row>
    <row r="36" ht="12.75" customHeight="1">
      <c r="A36" s="3">
        <v>-66.0</v>
      </c>
      <c r="B36" s="3">
        <v>958.873633288087</v>
      </c>
      <c r="C36" s="3"/>
      <c r="D36" s="3">
        <v>987.17701996848</v>
      </c>
      <c r="E36" s="3">
        <v>-60.177654737619</v>
      </c>
      <c r="F36" s="3">
        <v>37.3151119927634</v>
      </c>
      <c r="G36" s="3">
        <v>-0.0146063270343</v>
      </c>
      <c r="H36" s="5">
        <f t="shared" si="1"/>
        <v>964.2998709</v>
      </c>
      <c r="I36" s="3">
        <v>-54.869612495992</v>
      </c>
      <c r="J36" s="6">
        <f t="shared" si="2"/>
        <v>969.6079131</v>
      </c>
      <c r="K36" s="6">
        <f t="shared" si="3"/>
        <v>0.09696079131</v>
      </c>
      <c r="L36" s="6">
        <f t="shared" si="4"/>
        <v>1.005504556</v>
      </c>
      <c r="M36" s="6">
        <f t="shared" si="5"/>
        <v>0.9117938001</v>
      </c>
      <c r="N36" s="3"/>
      <c r="O36" s="3">
        <v>3.4</v>
      </c>
      <c r="P36" s="3">
        <v>7670.15233545706</v>
      </c>
      <c r="Q36" s="3">
        <v>5517.68196179506</v>
      </c>
      <c r="R36" s="4">
        <v>-2.410308972E-12</v>
      </c>
      <c r="S36" s="4">
        <f t="shared" si="6"/>
        <v>30444814.23</v>
      </c>
      <c r="T36" s="3">
        <f t="shared" si="7"/>
        <v>5517.681962</v>
      </c>
      <c r="U36" s="3">
        <v>7101.64217975654</v>
      </c>
      <c r="V36" s="3">
        <v>3074.42206710661</v>
      </c>
      <c r="W36" s="3">
        <v>-3568.2673509078</v>
      </c>
      <c r="X36" s="3">
        <f t="shared" si="8"/>
        <v>22184602.93</v>
      </c>
      <c r="Y36" s="3">
        <f t="shared" si="9"/>
        <v>4710.05339</v>
      </c>
      <c r="AA36" s="3">
        <v>-6.0</v>
      </c>
      <c r="AB36" s="3">
        <v>-8.0</v>
      </c>
      <c r="AC36" s="3">
        <v>50851.083905</v>
      </c>
    </row>
    <row r="37" ht="12.75" customHeight="1">
      <c r="A37" s="3">
        <v>-65.0</v>
      </c>
      <c r="B37" s="3">
        <v>1122.67303408553</v>
      </c>
      <c r="C37" s="3"/>
      <c r="D37" s="3">
        <v>1155.19435242704</v>
      </c>
      <c r="E37" s="3">
        <v>-70.534926247879</v>
      </c>
      <c r="F37" s="3">
        <v>43.6969749432293</v>
      </c>
      <c r="G37" s="3">
        <v>-0.0183567642919</v>
      </c>
      <c r="H37" s="5">
        <f t="shared" si="1"/>
        <v>1128.338044</v>
      </c>
      <c r="I37" s="3">
        <v>-64.313112256966</v>
      </c>
      <c r="J37" s="6">
        <f t="shared" si="2"/>
        <v>1134.559858</v>
      </c>
      <c r="K37" s="6">
        <f t="shared" si="3"/>
        <v>0.1134559858</v>
      </c>
      <c r="L37" s="6">
        <f t="shared" si="4"/>
        <v>1.00551414</v>
      </c>
      <c r="M37" s="6">
        <f t="shared" si="5"/>
        <v>0.9117910187</v>
      </c>
      <c r="N37" s="3"/>
      <c r="O37" s="3">
        <v>3.5</v>
      </c>
      <c r="P37" s="3">
        <v>7880.35943886488</v>
      </c>
      <c r="Q37" s="3">
        <v>5830.61053845503</v>
      </c>
      <c r="R37" s="4">
        <v>-6.210330687E-12</v>
      </c>
      <c r="S37" s="4">
        <f t="shared" si="6"/>
        <v>33996019.25</v>
      </c>
      <c r="T37" s="3">
        <f t="shared" si="7"/>
        <v>5830.610538</v>
      </c>
      <c r="U37" s="3">
        <v>7270.32302261754</v>
      </c>
      <c r="V37" s="3">
        <v>3240.10975630605</v>
      </c>
      <c r="W37" s="3">
        <v>-3790.23183772</v>
      </c>
      <c r="X37" s="3">
        <f t="shared" si="8"/>
        <v>24864168.62</v>
      </c>
      <c r="Y37" s="3">
        <f t="shared" si="9"/>
        <v>4986.398361</v>
      </c>
      <c r="AA37" s="3">
        <v>-6.0</v>
      </c>
      <c r="AB37" s="3">
        <v>-7.0</v>
      </c>
      <c r="AC37" s="3">
        <v>37071.1473382</v>
      </c>
    </row>
    <row r="38" ht="12.75" customHeight="1">
      <c r="A38" s="3">
        <v>-64.0</v>
      </c>
      <c r="B38" s="3">
        <v>1288.74649884144</v>
      </c>
      <c r="C38" s="3"/>
      <c r="D38" s="3">
        <v>1325.54147092282</v>
      </c>
      <c r="E38" s="3">
        <v>-81.036799056384</v>
      </c>
      <c r="F38" s="3">
        <v>50.167533701361</v>
      </c>
      <c r="G38" s="3">
        <v>-0.0223256821691</v>
      </c>
      <c r="H38" s="5">
        <f t="shared" si="1"/>
        <v>1294.64988</v>
      </c>
      <c r="I38" s="3">
        <v>-73.888349639223</v>
      </c>
      <c r="J38" s="6">
        <f t="shared" si="2"/>
        <v>1301.798329</v>
      </c>
      <c r="K38" s="6">
        <f t="shared" si="3"/>
        <v>0.1301798329</v>
      </c>
      <c r="L38" s="6">
        <f t="shared" si="4"/>
        <v>1.005521531</v>
      </c>
      <c r="M38" s="6">
        <f t="shared" si="5"/>
        <v>0.9117876138</v>
      </c>
      <c r="N38" s="3"/>
      <c r="O38" s="3">
        <v>3.6</v>
      </c>
      <c r="P38" s="3">
        <v>8108.83505815309</v>
      </c>
      <c r="Q38" s="3">
        <v>6159.64922506742</v>
      </c>
      <c r="R38" s="4">
        <v>-7.293266867E-12</v>
      </c>
      <c r="S38" s="4">
        <f t="shared" si="6"/>
        <v>37941278.58</v>
      </c>
      <c r="T38" s="3">
        <f t="shared" si="7"/>
        <v>6159.649225</v>
      </c>
      <c r="U38" s="3">
        <v>7445.56728178205</v>
      </c>
      <c r="V38" s="3">
        <v>3405.79744550549</v>
      </c>
      <c r="W38" s="3">
        <v>-4012.1963245321</v>
      </c>
      <c r="X38" s="3">
        <f t="shared" si="8"/>
        <v>27697175.59</v>
      </c>
      <c r="Y38" s="3">
        <f t="shared" si="9"/>
        <v>5262.810617</v>
      </c>
      <c r="AA38" s="3">
        <v>-6.0</v>
      </c>
      <c r="AB38" s="3">
        <v>-6.0</v>
      </c>
      <c r="AC38" s="3">
        <v>28062.9739836</v>
      </c>
    </row>
    <row r="39" ht="12.75" customHeight="1">
      <c r="A39" s="3">
        <v>-63.0</v>
      </c>
      <c r="B39" s="3">
        <v>1559.1129135922</v>
      </c>
      <c r="C39" s="3"/>
      <c r="D39" s="3">
        <v>1602.73706119262</v>
      </c>
      <c r="E39" s="3">
        <v>-98.170365714551</v>
      </c>
      <c r="F39" s="3">
        <v>60.7058529106381</v>
      </c>
      <c r="G39" s="3">
        <v>-0.0363145417661</v>
      </c>
      <c r="H39" s="5">
        <f t="shared" si="1"/>
        <v>1565.236234</v>
      </c>
      <c r="I39" s="3">
        <v>-89.505327887079</v>
      </c>
      <c r="J39" s="6">
        <f t="shared" si="2"/>
        <v>1573.901272</v>
      </c>
      <c r="K39" s="6">
        <f t="shared" si="3"/>
        <v>0.1573901272</v>
      </c>
      <c r="L39" s="6">
        <f t="shared" si="4"/>
        <v>1.00553593</v>
      </c>
      <c r="M39" s="6">
        <f t="shared" si="5"/>
        <v>0.9117346893</v>
      </c>
      <c r="N39" s="3"/>
      <c r="O39" s="3">
        <v>3.7</v>
      </c>
      <c r="P39" s="3">
        <v>8344.12404835061</v>
      </c>
      <c r="Q39" s="3">
        <v>6488.6879116798</v>
      </c>
      <c r="R39" s="4">
        <v>-8.493201792E-12</v>
      </c>
      <c r="S39" s="4">
        <f t="shared" si="6"/>
        <v>42103070.82</v>
      </c>
      <c r="T39" s="3">
        <f t="shared" si="7"/>
        <v>6488.687912</v>
      </c>
      <c r="U39" s="3">
        <v>7636.1594306867</v>
      </c>
      <c r="V39" s="3">
        <v>3558.64120130064</v>
      </c>
      <c r="W39" s="3">
        <v>-4260.2340083636</v>
      </c>
      <c r="X39" s="3">
        <f t="shared" si="8"/>
        <v>30813521.01</v>
      </c>
      <c r="Y39" s="3">
        <f t="shared" si="9"/>
        <v>5550.992795</v>
      </c>
      <c r="AA39" s="3">
        <v>-6.0</v>
      </c>
      <c r="AB39" s="3">
        <v>-5.0</v>
      </c>
      <c r="AC39" s="3">
        <v>22848.2052758</v>
      </c>
    </row>
    <row r="40" ht="12.75" customHeight="1">
      <c r="A40" s="3">
        <v>-62.0</v>
      </c>
      <c r="B40" s="3">
        <v>1792.99529876722</v>
      </c>
      <c r="C40" s="3"/>
      <c r="D40" s="3">
        <v>1842.69824258214</v>
      </c>
      <c r="E40" s="3">
        <v>-113.43931697764</v>
      </c>
      <c r="F40" s="3">
        <v>70.0614838454122</v>
      </c>
      <c r="G40" s="3">
        <v>-0.0495012243624</v>
      </c>
      <c r="H40" s="5">
        <f t="shared" si="1"/>
        <v>1799.270908</v>
      </c>
      <c r="I40" s="3">
        <v>-103.56549112611</v>
      </c>
      <c r="J40" s="6">
        <f t="shared" si="2"/>
        <v>1809.144734</v>
      </c>
      <c r="K40" s="6">
        <f t="shared" si="3"/>
        <v>0.1809144734</v>
      </c>
      <c r="L40" s="6">
        <f t="shared" si="4"/>
        <v>1.005487682</v>
      </c>
      <c r="M40" s="6">
        <f t="shared" si="5"/>
        <v>0.9129594032</v>
      </c>
      <c r="N40" s="3"/>
      <c r="O40" s="3">
        <v>3.8</v>
      </c>
      <c r="P40" s="3">
        <v>8585.66626928265</v>
      </c>
      <c r="Q40" s="3">
        <v>6817.72659829219</v>
      </c>
      <c r="R40" s="4">
        <v>-9.693136717E-12</v>
      </c>
      <c r="S40" s="4">
        <f t="shared" si="6"/>
        <v>46481395.97</v>
      </c>
      <c r="T40" s="3">
        <f t="shared" si="7"/>
        <v>6817.726598</v>
      </c>
      <c r="U40" s="3">
        <v>7839.48227498376</v>
      </c>
      <c r="V40" s="3">
        <v>3721.55523113006</v>
      </c>
      <c r="W40" s="3">
        <v>-4513.6101706027</v>
      </c>
      <c r="X40" s="3">
        <f t="shared" si="8"/>
        <v>34222650.11</v>
      </c>
      <c r="Y40" s="3">
        <f t="shared" si="9"/>
        <v>5850.01283</v>
      </c>
      <c r="AA40" s="3">
        <v>-6.0</v>
      </c>
      <c r="AB40" s="3">
        <v>-4.0</v>
      </c>
      <c r="AC40" s="3">
        <v>19959.8276058</v>
      </c>
    </row>
    <row r="41" ht="12.75" customHeight="1">
      <c r="A41" s="3">
        <v>-61.0</v>
      </c>
      <c r="B41" s="3">
        <v>2134.18783210377</v>
      </c>
      <c r="C41" s="3"/>
      <c r="D41" s="3">
        <v>2192.27741564024</v>
      </c>
      <c r="E41" s="3">
        <v>-134.88853858004</v>
      </c>
      <c r="F41" s="3">
        <v>83.272952535159</v>
      </c>
      <c r="G41" s="3">
        <v>-0.0547488089506</v>
      </c>
      <c r="H41" s="5">
        <f t="shared" si="1"/>
        <v>2140.607081</v>
      </c>
      <c r="I41" s="3">
        <v>-123.07213601833</v>
      </c>
      <c r="J41" s="6">
        <f t="shared" si="2"/>
        <v>2152.423483</v>
      </c>
      <c r="K41" s="6">
        <f t="shared" si="3"/>
        <v>0.2152423483</v>
      </c>
      <c r="L41" s="6">
        <f t="shared" si="4"/>
        <v>1.005520117</v>
      </c>
      <c r="M41" s="6">
        <f t="shared" si="5"/>
        <v>0.912398765</v>
      </c>
      <c r="N41" s="3"/>
      <c r="O41" s="3">
        <v>3.9</v>
      </c>
      <c r="P41" s="3">
        <v>8832.94874093793</v>
      </c>
      <c r="Q41" s="3">
        <v>7146.76528490458</v>
      </c>
      <c r="R41" s="4">
        <v>-1.07760729E-11</v>
      </c>
      <c r="S41" s="4">
        <f t="shared" si="6"/>
        <v>51076254.04</v>
      </c>
      <c r="T41" s="3">
        <f t="shared" si="7"/>
        <v>7146.765285</v>
      </c>
      <c r="U41" s="3">
        <v>8065.56090437489</v>
      </c>
      <c r="V41" s="3">
        <v>3913.39069098464</v>
      </c>
      <c r="W41" s="3">
        <v>-4777.5342183568</v>
      </c>
      <c r="X41" s="3">
        <f t="shared" si="8"/>
        <v>38139459.91</v>
      </c>
      <c r="Y41" s="3">
        <f t="shared" si="9"/>
        <v>6175.715336</v>
      </c>
      <c r="AA41" s="3">
        <v>-6.0</v>
      </c>
      <c r="AB41" s="3">
        <v>-3.0</v>
      </c>
      <c r="AC41" s="3">
        <v>18339.3286436</v>
      </c>
    </row>
    <row r="42" ht="12.75" customHeight="1">
      <c r="A42" s="3">
        <v>-60.0</v>
      </c>
      <c r="B42" s="3">
        <v>2551.79306201803</v>
      </c>
      <c r="C42" s="3"/>
      <c r="D42" s="3">
        <v>2620.00796502154</v>
      </c>
      <c r="E42" s="3">
        <v>-160.99684128081</v>
      </c>
      <c r="F42" s="3">
        <v>99.4559928066383</v>
      </c>
      <c r="G42" s="4">
        <v>0.0033815657536</v>
      </c>
      <c r="H42" s="5">
        <f t="shared" si="1"/>
        <v>2558.470498</v>
      </c>
      <c r="I42" s="3">
        <v>-146.84682462537</v>
      </c>
      <c r="J42" s="6">
        <f t="shared" si="2"/>
        <v>2572.620515</v>
      </c>
      <c r="K42" s="6">
        <f t="shared" si="3"/>
        <v>0.2572620515</v>
      </c>
      <c r="L42" s="6">
        <f t="shared" si="4"/>
        <v>1.005530655</v>
      </c>
      <c r="M42" s="6">
        <f t="shared" si="5"/>
        <v>0.9121099734</v>
      </c>
      <c r="N42" s="3"/>
      <c r="O42" s="3">
        <v>4.0</v>
      </c>
      <c r="P42" s="3">
        <v>9085.50277375339</v>
      </c>
      <c r="Q42" s="3">
        <v>7475.80397151697</v>
      </c>
      <c r="R42" s="4">
        <v>-1.185900908E-11</v>
      </c>
      <c r="S42" s="4">
        <f t="shared" si="6"/>
        <v>55887645.02</v>
      </c>
      <c r="T42" s="3">
        <f t="shared" si="7"/>
        <v>7475.803972</v>
      </c>
      <c r="U42" s="3">
        <v>8291.57159577127</v>
      </c>
      <c r="V42" s="3">
        <v>4086.57107440702</v>
      </c>
      <c r="W42" s="3">
        <v>-5047.1344927298</v>
      </c>
      <c r="X42" s="3">
        <f t="shared" si="8"/>
        <v>42173629.73</v>
      </c>
      <c r="Y42" s="3">
        <f t="shared" si="9"/>
        <v>6494.122707</v>
      </c>
      <c r="AA42" s="3">
        <v>-6.0</v>
      </c>
      <c r="AB42" s="3">
        <v>-2.0</v>
      </c>
      <c r="AC42" s="3">
        <v>17430.4897961</v>
      </c>
    </row>
    <row r="43" ht="12.75" customHeight="1">
      <c r="A43" s="3">
        <v>-59.0</v>
      </c>
      <c r="B43" s="3">
        <v>2990.10956212652</v>
      </c>
      <c r="C43" s="3"/>
      <c r="D43" s="3">
        <v>3068.96383940308</v>
      </c>
      <c r="E43" s="3">
        <v>-188.71513080107</v>
      </c>
      <c r="F43" s="3">
        <v>116.51776940239</v>
      </c>
      <c r="G43" s="3">
        <v>0.01462346351635</v>
      </c>
      <c r="H43" s="5">
        <f t="shared" si="1"/>
        <v>2996.781101</v>
      </c>
      <c r="I43" s="3">
        <v>-172.132167768</v>
      </c>
      <c r="J43" s="6">
        <f t="shared" si="2"/>
        <v>3013.364065</v>
      </c>
      <c r="K43" s="6">
        <f t="shared" si="3"/>
        <v>0.3013364065</v>
      </c>
      <c r="L43" s="6">
        <f t="shared" si="4"/>
        <v>1.005533592</v>
      </c>
      <c r="M43" s="6">
        <f t="shared" si="5"/>
        <v>0.9121270088</v>
      </c>
      <c r="N43" s="3"/>
      <c r="O43" s="3">
        <v>4.1</v>
      </c>
      <c r="P43" s="3">
        <v>9367.36671994287</v>
      </c>
      <c r="Q43" s="3">
        <v>7837.49462356513</v>
      </c>
      <c r="R43" s="4">
        <v>-1.287523606E-11</v>
      </c>
      <c r="S43" s="4">
        <f t="shared" si="6"/>
        <v>61426321.97</v>
      </c>
      <c r="T43" s="3">
        <f t="shared" si="7"/>
        <v>7837.494624</v>
      </c>
      <c r="U43" s="3">
        <v>8521.60089180134</v>
      </c>
      <c r="V43" s="3">
        <v>4270.72074907838</v>
      </c>
      <c r="W43" s="3">
        <v>-5306.0859626751</v>
      </c>
      <c r="X43" s="3">
        <f t="shared" si="8"/>
        <v>46393603.96</v>
      </c>
      <c r="Y43" s="3">
        <f t="shared" si="9"/>
        <v>6811.285045</v>
      </c>
      <c r="AA43" s="3">
        <v>-6.0</v>
      </c>
      <c r="AB43" s="3">
        <v>-1.0</v>
      </c>
      <c r="AC43" s="3">
        <v>16943.8518581</v>
      </c>
    </row>
    <row r="44" ht="12.75" customHeight="1">
      <c r="A44" s="3">
        <v>-58.0</v>
      </c>
      <c r="B44" s="3">
        <v>3493.76444330154</v>
      </c>
      <c r="C44" s="3"/>
      <c r="D44" s="3">
        <v>3584.75812322231</v>
      </c>
      <c r="E44" s="3">
        <v>-220.75838661451</v>
      </c>
      <c r="F44" s="3">
        <v>136.122048101758</v>
      </c>
      <c r="G44" s="3">
        <v>-0.0338238218348</v>
      </c>
      <c r="H44" s="5">
        <f t="shared" si="1"/>
        <v>3500.087961</v>
      </c>
      <c r="I44" s="3">
        <v>-201.34503186185</v>
      </c>
      <c r="J44" s="6">
        <f t="shared" si="2"/>
        <v>3519.501316</v>
      </c>
      <c r="K44" s="6">
        <f t="shared" si="3"/>
        <v>0.3519501316</v>
      </c>
      <c r="L44" s="6">
        <f t="shared" si="4"/>
        <v>1.005546533</v>
      </c>
      <c r="M44" s="6">
        <f t="shared" si="5"/>
        <v>0.9120606241</v>
      </c>
      <c r="N44" s="3"/>
      <c r="O44" s="3">
        <v>4.2</v>
      </c>
      <c r="P44" s="3">
        <v>9657.84139814269</v>
      </c>
      <c r="Q44" s="3">
        <v>8203.20094209279</v>
      </c>
      <c r="R44" s="4">
        <v>-1.418593968E-11</v>
      </c>
      <c r="S44" s="4">
        <f t="shared" si="6"/>
        <v>67292505.7</v>
      </c>
      <c r="T44" s="3">
        <f t="shared" si="7"/>
        <v>8203.200942</v>
      </c>
      <c r="U44" s="3">
        <v>8756.4849019596</v>
      </c>
      <c r="V44" s="3">
        <v>4459.44729757657</v>
      </c>
      <c r="W44" s="3">
        <v>-5560.7509984135</v>
      </c>
      <c r="X44" s="3">
        <f t="shared" si="8"/>
        <v>50808621.87</v>
      </c>
      <c r="Y44" s="3">
        <f t="shared" si="9"/>
        <v>7128.016685</v>
      </c>
      <c r="AA44" s="3">
        <v>-6.0</v>
      </c>
      <c r="AB44" s="3">
        <v>0.0</v>
      </c>
      <c r="AC44" s="3">
        <v>16905.8534314</v>
      </c>
    </row>
    <row r="45" ht="12.75" customHeight="1">
      <c r="A45" s="3">
        <v>-57.0</v>
      </c>
      <c r="B45" s="3">
        <v>4057.8764390323</v>
      </c>
      <c r="C45" s="3"/>
      <c r="D45" s="3">
        <v>4162.24090614498</v>
      </c>
      <c r="E45" s="3">
        <v>-256.36197287246</v>
      </c>
      <c r="F45" s="3">
        <v>158.016441558607</v>
      </c>
      <c r="G45" s="4">
        <v>5.8608663462E-4</v>
      </c>
      <c r="H45" s="5">
        <f t="shared" si="1"/>
        <v>4063.895961</v>
      </c>
      <c r="I45" s="3">
        <v>-233.84658348225</v>
      </c>
      <c r="J45" s="6">
        <f t="shared" si="2"/>
        <v>4086.41135</v>
      </c>
      <c r="K45" s="6">
        <f t="shared" si="3"/>
        <v>0.408641135</v>
      </c>
      <c r="L45" s="6">
        <f t="shared" si="4"/>
        <v>1.005540346</v>
      </c>
      <c r="M45" s="6">
        <f t="shared" si="5"/>
        <v>0.9121734431</v>
      </c>
      <c r="N45" s="3"/>
      <c r="O45" s="3">
        <v>4.3</v>
      </c>
      <c r="P45" s="3">
        <v>9967.25040356628</v>
      </c>
      <c r="Q45" s="3">
        <v>8585.16048260935</v>
      </c>
      <c r="R45" s="4">
        <v>-1.794482505E-11</v>
      </c>
      <c r="S45" s="4">
        <f t="shared" si="6"/>
        <v>73704980.51</v>
      </c>
      <c r="T45" s="3">
        <f t="shared" si="7"/>
        <v>8585.160483</v>
      </c>
      <c r="U45" s="3">
        <v>9016.53100458198</v>
      </c>
      <c r="V45" s="3">
        <v>4655.16364883441</v>
      </c>
      <c r="W45" s="3">
        <v>-5839.5787003077</v>
      </c>
      <c r="X45" s="3">
        <f t="shared" si="8"/>
        <v>55771227.99</v>
      </c>
      <c r="Y45" s="3">
        <f t="shared" si="9"/>
        <v>7468.013658</v>
      </c>
      <c r="AA45" s="3">
        <v>-6.0</v>
      </c>
      <c r="AB45" s="3">
        <v>1.0</v>
      </c>
      <c r="AC45" s="3">
        <v>14269.4483408</v>
      </c>
    </row>
    <row r="46" ht="12.75" customHeight="1">
      <c r="A46" s="3">
        <v>-56.0</v>
      </c>
      <c r="B46" s="3">
        <v>4689.83319421066</v>
      </c>
      <c r="C46" s="3"/>
      <c r="D46" s="3">
        <v>4809.01625146263</v>
      </c>
      <c r="E46" s="3">
        <v>-296.2107023312</v>
      </c>
      <c r="F46" s="3">
        <v>182.494679037396</v>
      </c>
      <c r="G46" s="3">
        <v>0.05085551100801</v>
      </c>
      <c r="H46" s="5">
        <f t="shared" si="1"/>
        <v>4695.351084</v>
      </c>
      <c r="I46" s="3">
        <v>-270.25515562047</v>
      </c>
      <c r="J46" s="6">
        <f t="shared" si="2"/>
        <v>4721.30663</v>
      </c>
      <c r="K46" s="6">
        <f t="shared" si="3"/>
        <v>0.472130663</v>
      </c>
      <c r="L46" s="6">
        <f t="shared" si="4"/>
        <v>1.005527925</v>
      </c>
      <c r="M46" s="6">
        <f t="shared" si="5"/>
        <v>0.9123747167</v>
      </c>
      <c r="N46" s="3"/>
      <c r="O46" s="3">
        <v>4.4</v>
      </c>
      <c r="P46" s="3">
        <v>10281.6482222393</v>
      </c>
      <c r="Q46" s="3">
        <v>8967.12002312592</v>
      </c>
      <c r="R46" s="4">
        <v>-2.170371043E-11</v>
      </c>
      <c r="S46" s="4">
        <f t="shared" si="6"/>
        <v>80409241.51</v>
      </c>
      <c r="T46" s="3">
        <f t="shared" si="7"/>
        <v>8967.120023</v>
      </c>
      <c r="U46" s="3">
        <v>9304.70932837601</v>
      </c>
      <c r="V46" s="3">
        <v>4858.72298091202</v>
      </c>
      <c r="W46" s="3">
        <v>-6145.5183728441</v>
      </c>
      <c r="X46" s="3">
        <f t="shared" si="8"/>
        <v>61374585.08</v>
      </c>
      <c r="Y46" s="3">
        <f t="shared" si="9"/>
        <v>7834.193326</v>
      </c>
      <c r="AA46" s="3">
        <v>-6.0</v>
      </c>
      <c r="AB46" s="3">
        <v>2.0</v>
      </c>
      <c r="AC46" s="3">
        <v>15634.9788672</v>
      </c>
    </row>
    <row r="47" ht="12.75" customHeight="1">
      <c r="A47" s="3">
        <v>-55.0</v>
      </c>
      <c r="B47" s="3">
        <v>5387.63048958975</v>
      </c>
      <c r="C47" s="3"/>
      <c r="D47" s="3">
        <v>5522.94179414083</v>
      </c>
      <c r="E47" s="3">
        <v>-340.16548788762</v>
      </c>
      <c r="F47" s="3">
        <v>209.163603450462</v>
      </c>
      <c r="G47" s="3">
        <v>-0.0556925844213</v>
      </c>
      <c r="H47" s="5">
        <f t="shared" si="1"/>
        <v>5391.884217</v>
      </c>
      <c r="I47" s="3">
        <v>-310.26258838971</v>
      </c>
      <c r="J47" s="6">
        <f t="shared" si="2"/>
        <v>5421.787117</v>
      </c>
      <c r="K47" s="6">
        <f t="shared" si="3"/>
        <v>0.5421787117</v>
      </c>
      <c r="L47" s="6">
        <f t="shared" si="4"/>
        <v>1.005545909</v>
      </c>
      <c r="M47" s="6">
        <f t="shared" si="5"/>
        <v>0.9120930824</v>
      </c>
      <c r="N47" s="3"/>
      <c r="O47" s="3">
        <v>4.5</v>
      </c>
      <c r="P47" s="3">
        <v>10600.5909810317</v>
      </c>
      <c r="Q47" s="3">
        <v>9349.07956364249</v>
      </c>
      <c r="R47" s="4">
        <v>-2.553841219E-11</v>
      </c>
      <c r="S47" s="4">
        <f t="shared" si="6"/>
        <v>87405288.69</v>
      </c>
      <c r="T47" s="3">
        <f t="shared" si="7"/>
        <v>9349.079564</v>
      </c>
      <c r="U47" s="3">
        <v>9596.19697430484</v>
      </c>
      <c r="V47" s="3">
        <v>5063.89020716883</v>
      </c>
      <c r="W47" s="3">
        <v>-6447.5798958027</v>
      </c>
      <c r="X47" s="3">
        <f t="shared" si="8"/>
        <v>67214270.54</v>
      </c>
      <c r="Y47" s="3">
        <f t="shared" si="9"/>
        <v>8198.430981</v>
      </c>
      <c r="AA47" s="3">
        <v>-6.0</v>
      </c>
      <c r="AB47" s="3">
        <v>3.0</v>
      </c>
      <c r="AC47" s="3">
        <v>17749.8051895</v>
      </c>
    </row>
    <row r="48" ht="12.75" customHeight="1">
      <c r="A48" s="3">
        <v>-54.0</v>
      </c>
      <c r="B48" s="3">
        <v>6151.42242882233</v>
      </c>
      <c r="C48" s="3"/>
      <c r="D48" s="3">
        <v>6304.19073246355</v>
      </c>
      <c r="E48" s="3">
        <v>-388.039679481</v>
      </c>
      <c r="F48" s="3">
        <v>238.354952125994</v>
      </c>
      <c r="G48" s="3">
        <v>-0.0349813867354</v>
      </c>
      <c r="H48" s="5">
        <f t="shared" si="1"/>
        <v>6154.471024</v>
      </c>
      <c r="I48" s="3">
        <v>-354.00462976538</v>
      </c>
      <c r="J48" s="6">
        <f t="shared" si="2"/>
        <v>6188.506073</v>
      </c>
      <c r="K48" s="6">
        <f t="shared" si="3"/>
        <v>0.6188506073</v>
      </c>
      <c r="L48" s="6">
        <f t="shared" si="4"/>
        <v>1.005530134</v>
      </c>
      <c r="M48" s="6">
        <f t="shared" si="5"/>
        <v>0.9122897695</v>
      </c>
      <c r="N48" s="3"/>
      <c r="O48" s="3">
        <v>4.6</v>
      </c>
      <c r="P48" s="3">
        <v>10923.6805862839</v>
      </c>
      <c r="Q48" s="3">
        <v>9731.03910415906</v>
      </c>
      <c r="R48" s="4">
        <v>-2.914566479E-11</v>
      </c>
      <c r="S48" s="4">
        <f t="shared" si="6"/>
        <v>94693122.05</v>
      </c>
      <c r="T48" s="3">
        <f t="shared" si="7"/>
        <v>9731.039104</v>
      </c>
      <c r="U48" s="3">
        <v>9886.61448284833</v>
      </c>
      <c r="V48" s="3">
        <v>5271.30013116291</v>
      </c>
      <c r="W48" s="3">
        <v>-6741.6479450943</v>
      </c>
      <c r="X48" s="3">
        <f t="shared" si="8"/>
        <v>73236422.09</v>
      </c>
      <c r="Y48" s="3">
        <f t="shared" si="9"/>
        <v>8557.828117</v>
      </c>
      <c r="AA48" s="3">
        <v>-6.0</v>
      </c>
      <c r="AB48" s="3">
        <v>4.0</v>
      </c>
      <c r="AC48" s="3">
        <v>20629.6572997</v>
      </c>
    </row>
    <row r="49" ht="12.75" customHeight="1">
      <c r="A49" s="3">
        <v>-53.0</v>
      </c>
      <c r="B49" s="3">
        <v>6952.79542507437</v>
      </c>
      <c r="C49" s="3"/>
      <c r="D49" s="3">
        <v>7123.55786181717</v>
      </c>
      <c r="E49" s="3">
        <v>-437.37982823941</v>
      </c>
      <c r="F49" s="3">
        <v>268.413204856223</v>
      </c>
      <c r="G49" s="3">
        <v>0.06453391542976</v>
      </c>
      <c r="H49" s="5">
        <f t="shared" si="1"/>
        <v>6954.655772</v>
      </c>
      <c r="I49" s="3">
        <v>-399.0902637049</v>
      </c>
      <c r="J49" s="6">
        <f t="shared" si="2"/>
        <v>6992.945337</v>
      </c>
      <c r="K49" s="6">
        <f t="shared" si="3"/>
        <v>0.6992945337</v>
      </c>
      <c r="L49" s="6">
        <f t="shared" si="4"/>
        <v>1.005505602</v>
      </c>
      <c r="M49" s="6">
        <f t="shared" si="5"/>
        <v>0.9124569492</v>
      </c>
      <c r="N49" s="3"/>
      <c r="O49" s="3">
        <v>4.7</v>
      </c>
      <c r="P49" s="3">
        <v>11270.2406977957</v>
      </c>
      <c r="Q49" s="3">
        <v>10136.0578706859</v>
      </c>
      <c r="R49" s="4">
        <v>-3.049916147E-11</v>
      </c>
      <c r="S49" s="4">
        <f t="shared" si="6"/>
        <v>102739669.2</v>
      </c>
      <c r="T49" s="3">
        <f t="shared" si="7"/>
        <v>10136.05787</v>
      </c>
      <c r="U49" s="3">
        <v>10185.1793179796</v>
      </c>
      <c r="V49" s="3">
        <v>5474.6848828122</v>
      </c>
      <c r="W49" s="3">
        <v>-7043.6388662336</v>
      </c>
      <c r="X49" s="3">
        <f t="shared" si="8"/>
        <v>79585023.04</v>
      </c>
      <c r="Y49" s="3">
        <f t="shared" si="9"/>
        <v>8921.043832</v>
      </c>
      <c r="AA49" s="3">
        <v>-6.0</v>
      </c>
      <c r="AB49" s="3">
        <v>5.0</v>
      </c>
      <c r="AC49" s="3">
        <v>24716.470807</v>
      </c>
    </row>
    <row r="50" ht="12.75" customHeight="1">
      <c r="A50" s="3">
        <v>-52.0</v>
      </c>
      <c r="B50" s="3">
        <v>7810.44210195918</v>
      </c>
      <c r="C50" s="3"/>
      <c r="D50" s="3">
        <v>8000.31838655729</v>
      </c>
      <c r="E50" s="3">
        <v>-490.14442844024</v>
      </c>
      <c r="F50" s="3">
        <v>300.087923601652</v>
      </c>
      <c r="G50" s="3">
        <v>-0.0407649252925</v>
      </c>
      <c r="H50" s="5">
        <f t="shared" si="1"/>
        <v>7810.221117</v>
      </c>
      <c r="I50" s="3">
        <v>-447.18764780352</v>
      </c>
      <c r="J50" s="6">
        <f t="shared" si="2"/>
        <v>7853.177897</v>
      </c>
      <c r="K50" s="6">
        <f t="shared" si="3"/>
        <v>0.7853177897</v>
      </c>
      <c r="L50" s="6">
        <f t="shared" si="4"/>
        <v>1.005500072</v>
      </c>
      <c r="M50" s="6">
        <f t="shared" si="5"/>
        <v>0.9123589331</v>
      </c>
      <c r="N50" s="3"/>
      <c r="O50" s="3">
        <v>4.8</v>
      </c>
      <c r="P50" s="3">
        <v>11634.0956967597</v>
      </c>
      <c r="Q50" s="3">
        <v>10556.5997858754</v>
      </c>
      <c r="R50" s="4">
        <v>-3.027546646E-11</v>
      </c>
      <c r="S50" s="4">
        <f t="shared" si="6"/>
        <v>111441799</v>
      </c>
      <c r="T50" s="3">
        <f t="shared" si="7"/>
        <v>10556.59979</v>
      </c>
      <c r="U50" s="3">
        <v>10488.0093368997</v>
      </c>
      <c r="V50" s="3">
        <v>5678.06963446149</v>
      </c>
      <c r="W50" s="3">
        <v>-7345.6297873728</v>
      </c>
      <c r="X50" s="3">
        <f t="shared" si="8"/>
        <v>86198751.75</v>
      </c>
      <c r="Y50" s="3">
        <f t="shared" si="9"/>
        <v>9284.328287</v>
      </c>
      <c r="AA50" s="3">
        <v>-6.0</v>
      </c>
      <c r="AB50" s="3">
        <v>6.0</v>
      </c>
      <c r="AC50" s="3">
        <v>30917.070283</v>
      </c>
    </row>
    <row r="51" ht="12.75" customHeight="1">
      <c r="A51" s="3">
        <v>-51.0</v>
      </c>
      <c r="B51" s="3">
        <v>8704.01427699356</v>
      </c>
      <c r="C51" s="3"/>
      <c r="D51" s="3">
        <v>8913.60035799337</v>
      </c>
      <c r="E51" s="3">
        <v>-544.13038871978</v>
      </c>
      <c r="F51" s="3">
        <v>332.478014488403</v>
      </c>
      <c r="G51" s="3">
        <v>-0.0259208367702</v>
      </c>
      <c r="H51" s="5">
        <f t="shared" si="1"/>
        <v>8701.922063</v>
      </c>
      <c r="I51" s="3">
        <v>-496.51912044775</v>
      </c>
      <c r="J51" s="6">
        <f t="shared" si="2"/>
        <v>8749.533331</v>
      </c>
      <c r="K51" s="6">
        <f t="shared" si="3"/>
        <v>0.8749533331</v>
      </c>
      <c r="L51" s="6">
        <f t="shared" si="4"/>
        <v>1.005471351</v>
      </c>
      <c r="M51" s="6">
        <f t="shared" si="5"/>
        <v>0.9125002587</v>
      </c>
      <c r="N51" s="3"/>
      <c r="O51" s="3">
        <v>4.9</v>
      </c>
      <c r="P51" s="3">
        <v>12001.77342949</v>
      </c>
      <c r="Q51" s="3">
        <v>10977.1417010649</v>
      </c>
      <c r="R51" s="4">
        <v>-3.017167025E-11</v>
      </c>
      <c r="S51" s="4">
        <f t="shared" si="6"/>
        <v>120497639.9</v>
      </c>
      <c r="T51" s="3">
        <f t="shared" si="7"/>
        <v>10977.1417</v>
      </c>
      <c r="U51" s="3">
        <v>10817.3199136798</v>
      </c>
      <c r="V51" s="3">
        <v>5901.31671959434</v>
      </c>
      <c r="W51" s="3">
        <v>-7663.993660683</v>
      </c>
      <c r="X51" s="3">
        <f t="shared" si="8"/>
        <v>93562337.86</v>
      </c>
      <c r="Y51" s="3">
        <f t="shared" si="9"/>
        <v>9672.76268</v>
      </c>
      <c r="AA51" s="3">
        <v>-6.0</v>
      </c>
      <c r="AB51" s="3">
        <v>7.0</v>
      </c>
      <c r="AC51" s="3">
        <v>41010.2518808</v>
      </c>
    </row>
    <row r="52" ht="12.75" customHeight="1">
      <c r="A52" s="3">
        <v>-50.0</v>
      </c>
      <c r="B52" s="3">
        <v>9629.04887772881</v>
      </c>
      <c r="C52" s="3"/>
      <c r="D52" s="3">
        <v>9858.90565470274</v>
      </c>
      <c r="E52" s="3">
        <v>-599.03290645951</v>
      </c>
      <c r="F52" s="3">
        <v>365.233038826511</v>
      </c>
      <c r="G52" s="3">
        <v>0.02977677529353</v>
      </c>
      <c r="H52" s="5">
        <f t="shared" si="1"/>
        <v>9625.135564</v>
      </c>
      <c r="I52" s="3">
        <v>-546.75472368685</v>
      </c>
      <c r="J52" s="6">
        <f t="shared" si="2"/>
        <v>9677.413747</v>
      </c>
      <c r="K52" s="6">
        <f t="shared" si="3"/>
        <v>0.9677413747</v>
      </c>
      <c r="L52" s="6">
        <f t="shared" si="4"/>
        <v>1.005431423</v>
      </c>
      <c r="M52" s="6">
        <f t="shared" si="5"/>
        <v>0.9127290301</v>
      </c>
      <c r="N52" s="3"/>
      <c r="O52" s="3">
        <v>5.0</v>
      </c>
      <c r="P52" s="3">
        <v>12390.5679841201</v>
      </c>
      <c r="Q52" s="3">
        <v>11416.3356574777</v>
      </c>
      <c r="R52" s="4">
        <v>-1.613879504E-11</v>
      </c>
      <c r="S52" s="4">
        <f t="shared" si="6"/>
        <v>130332719.8</v>
      </c>
      <c r="T52" s="3">
        <f t="shared" si="7"/>
        <v>11416.33566</v>
      </c>
      <c r="U52" s="3">
        <v>11150.0935640956</v>
      </c>
      <c r="V52" s="3">
        <v>6106.69588352088</v>
      </c>
      <c r="W52" s="3">
        <v>-8000.8037409201</v>
      </c>
      <c r="X52" s="3">
        <f t="shared" si="8"/>
        <v>101304595.1</v>
      </c>
      <c r="Y52" s="3">
        <f t="shared" si="9"/>
        <v>10065.01839</v>
      </c>
      <c r="AA52" s="3">
        <v>-6.0</v>
      </c>
      <c r="AB52" s="3">
        <v>8.0</v>
      </c>
      <c r="AC52" s="3">
        <v>56616.4866712</v>
      </c>
    </row>
    <row r="53" ht="12.75" customHeight="1">
      <c r="A53" s="3">
        <v>-49.0</v>
      </c>
      <c r="B53" s="3">
        <v>10576.7677893982</v>
      </c>
      <c r="C53" s="3"/>
      <c r="D53" s="3">
        <v>10827.2904933561</v>
      </c>
      <c r="E53" s="3">
        <v>-654.10172999304</v>
      </c>
      <c r="F53" s="3">
        <v>397.677907780731</v>
      </c>
      <c r="G53" s="3">
        <v>0.03069486460016</v>
      </c>
      <c r="H53" s="5">
        <f t="shared" si="1"/>
        <v>10570.89737</v>
      </c>
      <c r="I53" s="3">
        <v>-597.11953741143</v>
      </c>
      <c r="J53" s="6">
        <f t="shared" si="2"/>
        <v>10627.87956</v>
      </c>
      <c r="K53" s="6">
        <f t="shared" si="3"/>
        <v>1.062787956</v>
      </c>
      <c r="L53" s="6">
        <f t="shared" si="4"/>
        <v>1.005390478</v>
      </c>
      <c r="M53" s="6">
        <f t="shared" si="5"/>
        <v>0.912884816</v>
      </c>
      <c r="N53" s="3"/>
      <c r="O53" s="3">
        <v>5.1</v>
      </c>
      <c r="P53" s="3">
        <v>12787.7688936275</v>
      </c>
      <c r="Q53" s="3">
        <v>11860.828583066</v>
      </c>
      <c r="R53" s="4">
        <v>1.8759120453E-12</v>
      </c>
      <c r="S53" s="4">
        <f t="shared" si="6"/>
        <v>140679254.7</v>
      </c>
      <c r="T53" s="3">
        <f t="shared" si="7"/>
        <v>11860.82858</v>
      </c>
      <c r="U53" s="3">
        <v>11486.9501411948</v>
      </c>
      <c r="V53" s="3">
        <v>6312.0750474474</v>
      </c>
      <c r="W53" s="3">
        <v>-8337.6138211572</v>
      </c>
      <c r="X53" s="3">
        <f t="shared" si="8"/>
        <v>109358095.6</v>
      </c>
      <c r="Y53" s="3">
        <f t="shared" si="9"/>
        <v>10457.44212</v>
      </c>
      <c r="AA53" s="3">
        <v>-5.0</v>
      </c>
      <c r="AB53" s="3">
        <v>-8.0</v>
      </c>
      <c r="AC53" s="3">
        <v>40123.581853</v>
      </c>
    </row>
    <row r="54" ht="12.75" customHeight="1">
      <c r="A54" s="3">
        <v>-48.0</v>
      </c>
      <c r="B54" s="3">
        <v>11540.5782693723</v>
      </c>
      <c r="C54" s="3"/>
      <c r="D54" s="3">
        <v>11812.0569440392</v>
      </c>
      <c r="E54" s="3">
        <v>-708.59419583438</v>
      </c>
      <c r="F54" s="3">
        <v>429.355724123983</v>
      </c>
      <c r="G54" s="3">
        <v>0.01544609910793</v>
      </c>
      <c r="H54" s="5">
        <f t="shared" si="1"/>
        <v>11532.83392</v>
      </c>
      <c r="I54" s="3">
        <v>-646.9476278741</v>
      </c>
      <c r="J54" s="6">
        <f t="shared" si="2"/>
        <v>11594.48049</v>
      </c>
      <c r="K54" s="6">
        <f t="shared" si="3"/>
        <v>1.159448049</v>
      </c>
      <c r="L54" s="6">
        <f t="shared" si="4"/>
        <v>1.00534531</v>
      </c>
      <c r="M54" s="6">
        <f t="shared" si="5"/>
        <v>0.9130015906</v>
      </c>
      <c r="N54" s="3"/>
      <c r="O54" s="3">
        <v>5.2</v>
      </c>
      <c r="P54" s="3">
        <v>13188.0868542154</v>
      </c>
      <c r="Q54" s="3">
        <v>12305.3215086542</v>
      </c>
      <c r="R54" s="4">
        <v>1.9745352366E-11</v>
      </c>
      <c r="S54" s="4">
        <f t="shared" si="6"/>
        <v>151420937.4</v>
      </c>
      <c r="T54" s="3">
        <f t="shared" si="7"/>
        <v>12305.32151</v>
      </c>
      <c r="U54" s="3">
        <v>11851.0654957782</v>
      </c>
      <c r="V54" s="3">
        <v>6538.05059108816</v>
      </c>
      <c r="W54" s="3">
        <v>-8687.6418365059</v>
      </c>
      <c r="X54" s="3">
        <f t="shared" si="8"/>
        <v>118221226.2</v>
      </c>
      <c r="Y54" s="3">
        <f t="shared" si="9"/>
        <v>10872.95848</v>
      </c>
      <c r="AA54" s="3">
        <v>-5.0</v>
      </c>
      <c r="AB54" s="3">
        <v>-7.0</v>
      </c>
      <c r="AC54" s="3">
        <v>31233.604953</v>
      </c>
    </row>
    <row r="55" ht="12.75" customHeight="1">
      <c r="A55" s="3">
        <v>-47.0</v>
      </c>
      <c r="B55" s="3">
        <v>12517.8113900922</v>
      </c>
      <c r="C55" s="3"/>
      <c r="D55" s="3">
        <v>12810.5350352678</v>
      </c>
      <c r="E55" s="3">
        <v>-762.11113340952</v>
      </c>
      <c r="F55" s="3">
        <v>460.05632182651</v>
      </c>
      <c r="G55" s="3">
        <v>0.0425799621549</v>
      </c>
      <c r="H55" s="5">
        <f t="shared" si="1"/>
        <v>12508.5228</v>
      </c>
      <c r="I55" s="3">
        <v>-695.91831770114</v>
      </c>
      <c r="J55" s="6">
        <f t="shared" si="2"/>
        <v>12574.71562</v>
      </c>
      <c r="K55" s="6">
        <f t="shared" si="3"/>
        <v>1.257471562</v>
      </c>
      <c r="L55" s="6">
        <f t="shared" si="4"/>
        <v>1.005291817</v>
      </c>
      <c r="M55" s="6">
        <f t="shared" si="5"/>
        <v>0.913145455</v>
      </c>
      <c r="N55" s="3"/>
      <c r="O55" s="3">
        <v>5.3</v>
      </c>
      <c r="P55" s="3">
        <v>13600.0115247722</v>
      </c>
      <c r="Q55" s="3">
        <v>12759.9297703662</v>
      </c>
      <c r="R55" s="4">
        <v>3.4090982505E-11</v>
      </c>
      <c r="S55" s="4">
        <f t="shared" si="6"/>
        <v>162815807.7</v>
      </c>
      <c r="T55" s="3">
        <f t="shared" si="7"/>
        <v>12759.92977</v>
      </c>
      <c r="U55" s="3">
        <v>12221.9632797893</v>
      </c>
      <c r="V55" s="3">
        <v>6766.91453725877</v>
      </c>
      <c r="W55" s="3">
        <v>-9039.523513408</v>
      </c>
      <c r="X55" s="3">
        <f t="shared" si="8"/>
        <v>127504117.7</v>
      </c>
      <c r="Y55" s="3">
        <f t="shared" si="9"/>
        <v>11291.77212</v>
      </c>
      <c r="AA55" s="3">
        <v>-5.0</v>
      </c>
      <c r="AB55" s="3">
        <v>-6.0</v>
      </c>
      <c r="AC55" s="3">
        <v>24155.5045384</v>
      </c>
    </row>
    <row r="56" ht="12.75" customHeight="1">
      <c r="A56" s="3">
        <v>-46.0</v>
      </c>
      <c r="B56" s="3">
        <v>13516.7807007457</v>
      </c>
      <c r="C56" s="3"/>
      <c r="D56" s="3">
        <v>13831.3480190658</v>
      </c>
      <c r="E56" s="3">
        <v>-815.45475168985</v>
      </c>
      <c r="F56" s="3">
        <v>490.139443494588</v>
      </c>
      <c r="G56" s="3">
        <v>0.05197798035864</v>
      </c>
      <c r="H56" s="5">
        <f t="shared" si="1"/>
        <v>13506.08469</v>
      </c>
      <c r="I56" s="3">
        <v>-744.77126234455</v>
      </c>
      <c r="J56" s="6">
        <f t="shared" si="2"/>
        <v>13576.76818</v>
      </c>
      <c r="K56" s="6">
        <f t="shared" si="3"/>
        <v>1.357676818</v>
      </c>
      <c r="L56" s="6">
        <f t="shared" si="4"/>
        <v>1.005233455</v>
      </c>
      <c r="M56" s="6">
        <f t="shared" si="5"/>
        <v>0.9133201576</v>
      </c>
      <c r="N56" s="3"/>
      <c r="O56" s="3">
        <v>5.4</v>
      </c>
      <c r="P56" s="3">
        <v>14048.6919266206</v>
      </c>
      <c r="Q56" s="3">
        <v>13253.4377086996</v>
      </c>
      <c r="R56" s="4">
        <v>3.5093354336E-11</v>
      </c>
      <c r="S56" s="4">
        <f t="shared" si="6"/>
        <v>175653611.1</v>
      </c>
      <c r="T56" s="3">
        <f t="shared" si="7"/>
        <v>13253.43771</v>
      </c>
      <c r="U56" s="3">
        <v>12596.0416078984</v>
      </c>
      <c r="V56" s="3">
        <v>6995.77848342939</v>
      </c>
      <c r="W56" s="3">
        <v>-9391.4051903101</v>
      </c>
      <c r="X56" s="3">
        <f t="shared" si="8"/>
        <v>137139408</v>
      </c>
      <c r="Y56" s="3">
        <f t="shared" si="9"/>
        <v>11710.65361</v>
      </c>
      <c r="AA56" s="3">
        <v>-5.0</v>
      </c>
      <c r="AB56" s="3">
        <v>-5.0</v>
      </c>
      <c r="AC56" s="3">
        <v>19259.4420349</v>
      </c>
    </row>
    <row r="57" ht="12.75" customHeight="1">
      <c r="A57" s="3">
        <v>-45.0</v>
      </c>
      <c r="B57" s="3">
        <v>14534.5666933326</v>
      </c>
      <c r="C57" s="3"/>
      <c r="D57" s="3">
        <v>14871.5726196863</v>
      </c>
      <c r="E57" s="3">
        <v>-868.32169814958</v>
      </c>
      <c r="F57" s="3">
        <v>519.322197219995</v>
      </c>
      <c r="G57" s="3">
        <v>0.02924242814858</v>
      </c>
      <c r="H57" s="5">
        <f t="shared" si="1"/>
        <v>14522.60236</v>
      </c>
      <c r="I57" s="3">
        <v>-793.17527003572</v>
      </c>
      <c r="J57" s="6">
        <f t="shared" si="2"/>
        <v>14597.74879</v>
      </c>
      <c r="K57" s="6">
        <f t="shared" si="3"/>
        <v>1.459774879</v>
      </c>
      <c r="L57" s="6">
        <f t="shared" si="4"/>
        <v>1.005174446</v>
      </c>
      <c r="M57" s="6">
        <f t="shared" si="5"/>
        <v>0.9134578483</v>
      </c>
      <c r="N57" s="3"/>
      <c r="O57" s="3">
        <v>5.5</v>
      </c>
      <c r="P57" s="3">
        <v>14500.4323779937</v>
      </c>
      <c r="Q57" s="3">
        <v>13746.9456470329</v>
      </c>
      <c r="R57" s="4">
        <v>3.5286493708E-11</v>
      </c>
      <c r="S57" s="4">
        <f t="shared" si="6"/>
        <v>188978514.6</v>
      </c>
      <c r="T57" s="3">
        <f t="shared" si="7"/>
        <v>13746.94565</v>
      </c>
      <c r="U57" s="3">
        <v>12973.0253492158</v>
      </c>
      <c r="V57" s="3">
        <v>7224.6424296</v>
      </c>
      <c r="W57" s="3">
        <v>-9743.2868672122</v>
      </c>
      <c r="X57" s="3">
        <f t="shared" si="8"/>
        <v>147127097.2</v>
      </c>
      <c r="Y57" s="3">
        <f t="shared" si="9"/>
        <v>12129.59592</v>
      </c>
      <c r="AA57" s="3">
        <v>-5.0</v>
      </c>
      <c r="AB57" s="3">
        <v>-4.0</v>
      </c>
      <c r="AC57" s="3">
        <v>16103.9531812</v>
      </c>
    </row>
    <row r="58" ht="12.75" customHeight="1">
      <c r="A58" s="3">
        <v>-44.0</v>
      </c>
      <c r="B58" s="3">
        <v>15575.817999709</v>
      </c>
      <c r="C58" s="3"/>
      <c r="D58" s="3">
        <v>15936.0858540731</v>
      </c>
      <c r="E58" s="3">
        <v>-921.14009509269</v>
      </c>
      <c r="F58" s="3">
        <v>547.924778311571</v>
      </c>
      <c r="G58" s="3">
        <v>0.04452007009771</v>
      </c>
      <c r="H58" s="5">
        <f t="shared" si="1"/>
        <v>15562.91506</v>
      </c>
      <c r="I58" s="3">
        <v>-841.6065831793</v>
      </c>
      <c r="J58" s="6">
        <f t="shared" si="2"/>
        <v>15642.44857</v>
      </c>
      <c r="K58" s="6">
        <f t="shared" si="3"/>
        <v>1.564244857</v>
      </c>
      <c r="L58" s="6">
        <f t="shared" si="4"/>
        <v>1.005110451</v>
      </c>
      <c r="M58" s="6">
        <f t="shared" si="5"/>
        <v>0.913657529</v>
      </c>
      <c r="N58" s="3"/>
      <c r="O58" s="3">
        <v>5.6</v>
      </c>
      <c r="P58" s="3">
        <v>14954.9555791034</v>
      </c>
      <c r="Q58" s="3">
        <v>14240.4535853663</v>
      </c>
      <c r="R58" s="4">
        <v>3.6173260901E-11</v>
      </c>
      <c r="S58" s="4">
        <f t="shared" si="6"/>
        <v>202790518.3</v>
      </c>
      <c r="T58" s="3">
        <f t="shared" si="7"/>
        <v>14240.45359</v>
      </c>
      <c r="U58" s="3">
        <v>13354.2919535997</v>
      </c>
      <c r="V58" s="3">
        <v>7462.80225148606</v>
      </c>
      <c r="W58" s="3">
        <v>-10089.993656938</v>
      </c>
      <c r="X58" s="3">
        <f t="shared" si="8"/>
        <v>157501389.4</v>
      </c>
      <c r="Y58" s="3">
        <f t="shared" si="9"/>
        <v>12549.95575</v>
      </c>
      <c r="AA58" s="3">
        <v>-5.0</v>
      </c>
      <c r="AB58" s="3">
        <v>-3.0</v>
      </c>
      <c r="AC58" s="3">
        <v>14206.6089654</v>
      </c>
    </row>
    <row r="59" ht="12.75" customHeight="1">
      <c r="A59" s="3">
        <v>-43.0</v>
      </c>
      <c r="B59" s="3">
        <v>16642.7406333105</v>
      </c>
      <c r="C59" s="3"/>
      <c r="D59" s="3">
        <v>17027.252390566</v>
      </c>
      <c r="E59" s="3">
        <v>-974.18436747164</v>
      </c>
      <c r="F59" s="3">
        <v>575.969753716687</v>
      </c>
      <c r="G59" s="3">
        <v>0.05799501085299</v>
      </c>
      <c r="H59" s="5">
        <f t="shared" si="1"/>
        <v>16629.09577</v>
      </c>
      <c r="I59" s="3">
        <v>-890.20924191773</v>
      </c>
      <c r="J59" s="6">
        <f t="shared" si="2"/>
        <v>16713.0709</v>
      </c>
      <c r="K59" s="6">
        <f t="shared" si="3"/>
        <v>1.67130709</v>
      </c>
      <c r="L59" s="6">
        <f t="shared" si="4"/>
        <v>1.005049891</v>
      </c>
      <c r="M59" s="6">
        <f t="shared" si="5"/>
        <v>0.9137995554</v>
      </c>
      <c r="N59" s="3"/>
      <c r="O59" s="3">
        <v>5.7</v>
      </c>
      <c r="P59" s="3">
        <v>15412.0153296595</v>
      </c>
      <c r="Q59" s="3">
        <v>14733.9615236997</v>
      </c>
      <c r="R59" s="4">
        <v>3.648200491E-11</v>
      </c>
      <c r="S59" s="4">
        <f t="shared" si="6"/>
        <v>217089622.2</v>
      </c>
      <c r="T59" s="3">
        <f t="shared" si="7"/>
        <v>14733.96152</v>
      </c>
      <c r="U59" s="3">
        <v>13739.1880558232</v>
      </c>
      <c r="V59" s="3">
        <v>7708.07129718553</v>
      </c>
      <c r="W59" s="3">
        <v>-10432.742838766</v>
      </c>
      <c r="X59" s="3">
        <f t="shared" si="8"/>
        <v>168256486.3</v>
      </c>
      <c r="Y59" s="3">
        <f t="shared" si="9"/>
        <v>12971.3718</v>
      </c>
      <c r="AA59" s="3">
        <v>-5.0</v>
      </c>
      <c r="AB59" s="3">
        <v>-2.0</v>
      </c>
      <c r="AC59" s="3">
        <v>13064.0808774</v>
      </c>
    </row>
    <row r="60" ht="12.75" customHeight="1">
      <c r="A60" s="3">
        <v>-42.0</v>
      </c>
      <c r="B60" s="3">
        <v>17738.8434697058</v>
      </c>
      <c r="C60" s="3"/>
      <c r="D60" s="3">
        <v>18148.8723770424</v>
      </c>
      <c r="E60" s="3">
        <v>-1028.1765075386</v>
      </c>
      <c r="F60" s="3">
        <v>603.806363352164</v>
      </c>
      <c r="G60" s="3">
        <v>0.04897360290018</v>
      </c>
      <c r="H60" s="5">
        <f t="shared" si="1"/>
        <v>17724.55121</v>
      </c>
      <c r="I60" s="3">
        <v>-939.6708297525</v>
      </c>
      <c r="J60" s="6">
        <f t="shared" si="2"/>
        <v>17813.05688</v>
      </c>
      <c r="K60" s="6">
        <f t="shared" si="3"/>
        <v>1.781305688</v>
      </c>
      <c r="L60" s="6">
        <f t="shared" si="4"/>
        <v>1.004993395</v>
      </c>
      <c r="M60" s="6">
        <f t="shared" si="5"/>
        <v>0.9139197627</v>
      </c>
      <c r="N60" s="3"/>
      <c r="O60" s="3">
        <v>5.8</v>
      </c>
      <c r="P60" s="3">
        <v>15892.2633268621</v>
      </c>
      <c r="Q60" s="3">
        <v>15250.0356120677</v>
      </c>
      <c r="R60" s="4">
        <v>2.9390115121E-11</v>
      </c>
      <c r="S60" s="4">
        <f t="shared" si="6"/>
        <v>232563586.2</v>
      </c>
      <c r="T60" s="3">
        <f t="shared" si="7"/>
        <v>15250.03561</v>
      </c>
      <c r="U60" s="3">
        <v>14134.9552187267</v>
      </c>
      <c r="V60" s="3">
        <v>7968.80356884889</v>
      </c>
      <c r="W60" s="3">
        <v>-10778.339896471</v>
      </c>
      <c r="X60" s="3">
        <f t="shared" si="8"/>
        <v>179674441.2</v>
      </c>
      <c r="Y60" s="3">
        <f t="shared" si="9"/>
        <v>13404.26952</v>
      </c>
      <c r="AA60" s="3">
        <v>-5.0</v>
      </c>
      <c r="AB60" s="3">
        <v>-1.0</v>
      </c>
      <c r="AC60" s="3">
        <v>12466.5751354</v>
      </c>
    </row>
    <row r="61" ht="12.75" customHeight="1">
      <c r="A61" s="3">
        <v>-41.0</v>
      </c>
      <c r="B61" s="3">
        <v>18866.8343866417</v>
      </c>
      <c r="C61" s="3"/>
      <c r="D61" s="3">
        <v>19303.9797202522</v>
      </c>
      <c r="E61" s="3">
        <v>-1083.88954446</v>
      </c>
      <c r="F61" s="3">
        <v>631.88014933931</v>
      </c>
      <c r="G61" s="3">
        <v>0.04038665531677</v>
      </c>
      <c r="H61" s="5">
        <f t="shared" si="1"/>
        <v>18852.01071</v>
      </c>
      <c r="I61" s="3">
        <v>-990.7671915925</v>
      </c>
      <c r="J61" s="6">
        <f t="shared" si="2"/>
        <v>18945.13306</v>
      </c>
      <c r="K61" s="6">
        <f t="shared" si="3"/>
        <v>1.894513306</v>
      </c>
      <c r="L61" s="6">
        <f t="shared" si="4"/>
        <v>1.004939651</v>
      </c>
      <c r="M61" s="6">
        <f t="shared" si="5"/>
        <v>0.914085016</v>
      </c>
      <c r="N61" s="3"/>
      <c r="O61" s="3">
        <v>5.9</v>
      </c>
      <c r="P61" s="3">
        <v>16378.0861541501</v>
      </c>
      <c r="Q61" s="3">
        <v>15769.6041760547</v>
      </c>
      <c r="R61" s="4">
        <v>2.1062692366E-11</v>
      </c>
      <c r="S61" s="4">
        <f t="shared" si="6"/>
        <v>248680415.9</v>
      </c>
      <c r="T61" s="3">
        <f t="shared" si="7"/>
        <v>15769.60418</v>
      </c>
      <c r="U61" s="3">
        <v>14551.1187324311</v>
      </c>
      <c r="V61" s="3">
        <v>8227.01140645865</v>
      </c>
      <c r="W61" s="3">
        <v>-11150.707579516</v>
      </c>
      <c r="X61" s="3">
        <f t="shared" si="8"/>
        <v>192021996.2</v>
      </c>
      <c r="Y61" s="3">
        <f t="shared" si="9"/>
        <v>13857.20016</v>
      </c>
      <c r="AA61" s="3">
        <v>-5.0</v>
      </c>
      <c r="AB61" s="3">
        <v>0.0</v>
      </c>
      <c r="AC61" s="3">
        <v>12390.5679841</v>
      </c>
    </row>
    <row r="62" ht="12.75" customHeight="1">
      <c r="A62" s="3">
        <v>-40.0</v>
      </c>
      <c r="B62" s="3">
        <v>20024.628433078</v>
      </c>
      <c r="C62" s="3"/>
      <c r="D62" s="3">
        <v>20490.6766295666</v>
      </c>
      <c r="E62" s="3">
        <v>-1141.5578037576</v>
      </c>
      <c r="F62" s="3">
        <v>660.226982482158</v>
      </c>
      <c r="G62" s="3">
        <v>0.03605755909598</v>
      </c>
      <c r="H62" s="5">
        <f t="shared" si="1"/>
        <v>20009.38187</v>
      </c>
      <c r="I62" s="3">
        <v>-1043.5827980215</v>
      </c>
      <c r="J62" s="6">
        <f t="shared" si="2"/>
        <v>20107.35687</v>
      </c>
      <c r="K62" s="6">
        <f t="shared" si="3"/>
        <v>2.010735687</v>
      </c>
      <c r="L62" s="6">
        <f t="shared" si="4"/>
        <v>1.004896453</v>
      </c>
      <c r="M62" s="6">
        <f t="shared" si="5"/>
        <v>0.9141742929</v>
      </c>
      <c r="N62" s="3"/>
      <c r="O62" s="3">
        <v>6.0</v>
      </c>
      <c r="P62" s="3">
        <v>16905.8534313704</v>
      </c>
      <c r="Q62" s="3">
        <v>16330.698388373</v>
      </c>
      <c r="R62" s="4">
        <v>1.3863115085E-11</v>
      </c>
      <c r="S62" s="4">
        <f t="shared" si="6"/>
        <v>266691709.9</v>
      </c>
      <c r="T62" s="3">
        <f t="shared" si="7"/>
        <v>16330.69839</v>
      </c>
      <c r="U62" s="3">
        <v>14970.198271628</v>
      </c>
      <c r="V62" s="3">
        <v>8470.20220639848</v>
      </c>
      <c r="W62" s="3">
        <v>-11535.629210561</v>
      </c>
      <c r="X62" s="3">
        <f t="shared" si="8"/>
        <v>204815066.7</v>
      </c>
      <c r="Y62" s="3">
        <f t="shared" si="9"/>
        <v>14311.36146</v>
      </c>
      <c r="AA62" s="3">
        <v>-5.0</v>
      </c>
      <c r="AB62" s="3">
        <v>1.0</v>
      </c>
      <c r="AC62" s="3">
        <v>10547.9471298</v>
      </c>
    </row>
    <row r="63" ht="12.75" customHeight="1">
      <c r="A63" s="3">
        <v>-39.0</v>
      </c>
      <c r="B63" s="3">
        <v>21210.5374898896</v>
      </c>
      <c r="C63" s="3"/>
      <c r="D63" s="3">
        <v>21707.6110133412</v>
      </c>
      <c r="E63" s="3">
        <v>-1201.8894985051</v>
      </c>
      <c r="F63" s="3">
        <v>689.209007062956</v>
      </c>
      <c r="G63" s="3">
        <v>0.04981324494156</v>
      </c>
      <c r="H63" s="5">
        <f t="shared" si="1"/>
        <v>21194.98034</v>
      </c>
      <c r="I63" s="3">
        <v>-1098.7651199584</v>
      </c>
      <c r="J63" s="6">
        <f t="shared" si="2"/>
        <v>21298.10471</v>
      </c>
      <c r="K63" s="6">
        <f t="shared" si="3"/>
        <v>2.129810471</v>
      </c>
      <c r="L63" s="6">
        <f t="shared" si="4"/>
        <v>1.00486551</v>
      </c>
      <c r="M63" s="6">
        <f t="shared" si="5"/>
        <v>0.91419812</v>
      </c>
      <c r="N63" s="3"/>
      <c r="O63" s="3">
        <v>6.1</v>
      </c>
      <c r="P63" s="3">
        <v>17444.7306274051</v>
      </c>
      <c r="Q63" s="3">
        <v>16901.0306168754</v>
      </c>
      <c r="R63" s="4">
        <v>7.4348415445E-12</v>
      </c>
      <c r="S63" s="4">
        <f t="shared" si="6"/>
        <v>285644835.9</v>
      </c>
      <c r="T63" s="3">
        <f t="shared" si="7"/>
        <v>16901.03062</v>
      </c>
      <c r="U63" s="3">
        <v>15391.0075190598</v>
      </c>
      <c r="V63" s="3">
        <v>8713.12265259727</v>
      </c>
      <c r="W63" s="3">
        <v>-11920.196795462</v>
      </c>
      <c r="X63" s="3">
        <f t="shared" si="8"/>
        <v>218009598</v>
      </c>
      <c r="Y63" s="3">
        <f t="shared" si="9"/>
        <v>14765.14809</v>
      </c>
      <c r="AA63" s="3">
        <v>-5.0</v>
      </c>
      <c r="AB63" s="3">
        <v>2.0</v>
      </c>
      <c r="AC63" s="3">
        <v>12004.9316484</v>
      </c>
    </row>
    <row r="64" ht="12.75" customHeight="1">
      <c r="A64" s="3">
        <v>-38.0</v>
      </c>
      <c r="B64" s="3">
        <v>22419.2917159367</v>
      </c>
      <c r="C64" s="3"/>
      <c r="D64" s="3">
        <v>22949.8272674534</v>
      </c>
      <c r="E64" s="3">
        <v>-1265.5038243515</v>
      </c>
      <c r="F64" s="3">
        <v>719.051149612094</v>
      </c>
      <c r="G64" s="3">
        <v>0.05496306881832</v>
      </c>
      <c r="H64" s="5">
        <f t="shared" si="1"/>
        <v>22403.42956</v>
      </c>
      <c r="I64" s="3">
        <v>-1156.809143936</v>
      </c>
      <c r="J64" s="6">
        <f t="shared" si="2"/>
        <v>22512.12424</v>
      </c>
      <c r="K64" s="6">
        <f t="shared" si="3"/>
        <v>2.251212424</v>
      </c>
      <c r="L64" s="6">
        <f t="shared" si="4"/>
        <v>1.004851698</v>
      </c>
      <c r="M64" s="6">
        <f t="shared" si="5"/>
        <v>0.9141095599</v>
      </c>
      <c r="N64" s="3"/>
      <c r="O64" s="3">
        <v>6.2</v>
      </c>
      <c r="P64" s="3">
        <v>17985.6918015109</v>
      </c>
      <c r="Q64" s="3">
        <v>17471.3628453778</v>
      </c>
      <c r="R64" s="4">
        <v>6.3393622467E-13</v>
      </c>
      <c r="S64" s="4">
        <f t="shared" si="6"/>
        <v>305248519.7</v>
      </c>
      <c r="T64" s="3">
        <f t="shared" si="7"/>
        <v>17471.36285</v>
      </c>
      <c r="U64" s="3">
        <v>15804.3542788507</v>
      </c>
      <c r="V64" s="3">
        <v>8950.65079326731</v>
      </c>
      <c r="W64" s="3">
        <v>-12297.70279887</v>
      </c>
      <c r="X64" s="3">
        <f t="shared" si="8"/>
        <v>231347643.8</v>
      </c>
      <c r="Y64" s="3">
        <f t="shared" si="9"/>
        <v>15210.11649</v>
      </c>
      <c r="AA64" s="3">
        <v>-5.0</v>
      </c>
      <c r="AB64" s="3">
        <v>3.0</v>
      </c>
      <c r="AC64" s="3">
        <v>14319.0871132</v>
      </c>
    </row>
    <row r="65" ht="12.75" customHeight="1">
      <c r="A65" s="3">
        <v>-37.0</v>
      </c>
      <c r="B65" s="3">
        <v>23642.8359925871</v>
      </c>
      <c r="C65" s="3"/>
      <c r="D65" s="3">
        <v>24209.6210179996</v>
      </c>
      <c r="E65" s="3">
        <v>-1333.0811527587</v>
      </c>
      <c r="F65" s="3">
        <v>750.064162308977</v>
      </c>
      <c r="G65" s="3">
        <v>0.05438941239333</v>
      </c>
      <c r="H65" s="5">
        <f t="shared" si="1"/>
        <v>23626.65842</v>
      </c>
      <c r="I65" s="3">
        <v>-1218.337358898</v>
      </c>
      <c r="J65" s="6">
        <f t="shared" si="2"/>
        <v>23741.40221</v>
      </c>
      <c r="K65" s="6">
        <f t="shared" si="3"/>
        <v>2.374140221</v>
      </c>
      <c r="L65" s="6">
        <f t="shared" si="4"/>
        <v>1.004856539</v>
      </c>
      <c r="M65" s="6">
        <f t="shared" si="5"/>
        <v>0.9139258749</v>
      </c>
      <c r="N65" s="3"/>
      <c r="O65" s="3">
        <v>6.3</v>
      </c>
      <c r="P65" s="3">
        <v>18528.5544226099</v>
      </c>
      <c r="Q65" s="3">
        <v>18041.6950738802</v>
      </c>
      <c r="R65" s="4">
        <v>-5.980653205E-12</v>
      </c>
      <c r="S65" s="4">
        <f t="shared" si="6"/>
        <v>325502761.1</v>
      </c>
      <c r="T65" s="3">
        <f t="shared" si="7"/>
        <v>18041.69507</v>
      </c>
      <c r="U65" s="3">
        <v>16219.5946522412</v>
      </c>
      <c r="V65" s="3">
        <v>9188.17893393736</v>
      </c>
      <c r="W65" s="3">
        <v>-12675.208802277</v>
      </c>
      <c r="X65" s="3">
        <f t="shared" si="8"/>
        <v>245083550.3</v>
      </c>
      <c r="Y65" s="3">
        <f t="shared" si="9"/>
        <v>15655.14453</v>
      </c>
      <c r="AA65" s="3">
        <v>-5.0</v>
      </c>
      <c r="AB65" s="3">
        <v>4.0</v>
      </c>
      <c r="AC65" s="3">
        <v>17476.7685686</v>
      </c>
    </row>
    <row r="66" ht="12.75" customHeight="1">
      <c r="A66" s="3">
        <v>-36.0</v>
      </c>
      <c r="B66" s="3">
        <v>24870.4610831494</v>
      </c>
      <c r="C66" s="3"/>
      <c r="D66" s="3">
        <v>25476.6330912977</v>
      </c>
      <c r="E66" s="3">
        <v>-1405.2164612128</v>
      </c>
      <c r="F66" s="3">
        <v>782.495732167273</v>
      </c>
      <c r="G66" s="3">
        <v>0.05754200358497</v>
      </c>
      <c r="H66" s="5">
        <f t="shared" si="1"/>
        <v>24853.9699</v>
      </c>
      <c r="I66" s="3">
        <v>-1283.8373497303</v>
      </c>
      <c r="J66" s="6">
        <f t="shared" si="2"/>
        <v>24975.34902</v>
      </c>
      <c r="K66" s="6">
        <f t="shared" si="3"/>
        <v>2.497534902</v>
      </c>
      <c r="L66" s="6">
        <f t="shared" si="4"/>
        <v>1.004883691</v>
      </c>
      <c r="M66" s="6">
        <f t="shared" si="5"/>
        <v>0.9136224811</v>
      </c>
      <c r="N66" s="3"/>
      <c r="O66" s="3">
        <v>6.4</v>
      </c>
      <c r="P66" s="3">
        <v>19073.1561337069</v>
      </c>
      <c r="Q66" s="3">
        <v>18612.0273023827</v>
      </c>
      <c r="R66" s="4">
        <v>-1.264182161E-11</v>
      </c>
      <c r="S66" s="4">
        <f t="shared" si="6"/>
        <v>346407560.3</v>
      </c>
      <c r="T66" s="3">
        <f t="shared" si="7"/>
        <v>18612.0273</v>
      </c>
      <c r="U66" s="3">
        <v>16643.0499013552</v>
      </c>
      <c r="V66" s="3">
        <v>9432.68704328522</v>
      </c>
      <c r="W66" s="3">
        <v>-13056.067072734</v>
      </c>
      <c r="X66" s="3">
        <f t="shared" si="8"/>
        <v>259436472.3</v>
      </c>
      <c r="Y66" s="3">
        <f t="shared" si="9"/>
        <v>16107.03176</v>
      </c>
      <c r="AA66" s="3">
        <v>-5.0</v>
      </c>
      <c r="AB66" s="3">
        <v>5.0</v>
      </c>
      <c r="AC66" s="3">
        <v>21760.3285818</v>
      </c>
    </row>
    <row r="67" ht="12.75" customHeight="1">
      <c r="A67" s="3">
        <v>-35.0</v>
      </c>
      <c r="B67" s="3">
        <v>26089.0718049284</v>
      </c>
      <c r="C67" s="3"/>
      <c r="D67" s="3">
        <v>26738.1234809852</v>
      </c>
      <c r="E67" s="3">
        <v>-1482.4488292441</v>
      </c>
      <c r="F67" s="3">
        <v>816.509986886604</v>
      </c>
      <c r="G67" s="3">
        <v>0.05799033572243</v>
      </c>
      <c r="H67" s="5">
        <f t="shared" si="1"/>
        <v>26072.24263</v>
      </c>
      <c r="I67" s="3">
        <v>-1353.6579861439</v>
      </c>
      <c r="J67" s="6">
        <f t="shared" si="2"/>
        <v>26201.03347</v>
      </c>
      <c r="K67" s="6">
        <f t="shared" si="3"/>
        <v>2.620103347</v>
      </c>
      <c r="L67" s="6">
        <f t="shared" si="4"/>
        <v>1.004939769</v>
      </c>
      <c r="M67" s="6">
        <f t="shared" si="5"/>
        <v>0.9131229082</v>
      </c>
      <c r="N67" s="3"/>
      <c r="O67" s="3">
        <v>6.5</v>
      </c>
      <c r="P67" s="3">
        <v>19619.3521122991</v>
      </c>
      <c r="Q67" s="3">
        <v>19182.3595308851</v>
      </c>
      <c r="R67" s="4">
        <v>-1.911667412E-11</v>
      </c>
      <c r="S67" s="4">
        <f t="shared" si="6"/>
        <v>367962917.2</v>
      </c>
      <c r="T67" s="3">
        <f t="shared" si="7"/>
        <v>19182.35953</v>
      </c>
      <c r="U67" s="3">
        <v>17075.1871582204</v>
      </c>
      <c r="V67" s="3">
        <v>9684.76726029484</v>
      </c>
      <c r="W67" s="3">
        <v>-13440.561996618</v>
      </c>
      <c r="X67" s="3">
        <f t="shared" si="8"/>
        <v>274443423.7</v>
      </c>
      <c r="Y67" s="3">
        <f t="shared" si="9"/>
        <v>16566.33404</v>
      </c>
      <c r="AA67" s="3">
        <v>-5.0</v>
      </c>
      <c r="AB67" s="3">
        <v>6.0</v>
      </c>
      <c r="AC67" s="3">
        <v>27620.5536921</v>
      </c>
    </row>
    <row r="68" ht="12.75" customHeight="1">
      <c r="A68" s="3">
        <v>-34.0</v>
      </c>
      <c r="B68" s="3">
        <v>27283.1252874075</v>
      </c>
      <c r="C68" s="3"/>
      <c r="D68" s="3">
        <v>27978.9419194659</v>
      </c>
      <c r="E68" s="3">
        <v>-1565.4145724552</v>
      </c>
      <c r="F68" s="3">
        <v>852.355221963369</v>
      </c>
      <c r="G68" s="3">
        <v>0.06074804086595</v>
      </c>
      <c r="H68" s="5">
        <f t="shared" si="1"/>
        <v>27265.94332</v>
      </c>
      <c r="I68" s="3">
        <v>-1428.2870167418</v>
      </c>
      <c r="J68" s="6">
        <f t="shared" si="2"/>
        <v>27403.07087</v>
      </c>
      <c r="K68" s="6">
        <f t="shared" si="3"/>
        <v>2.740307087</v>
      </c>
      <c r="L68" s="6">
        <f t="shared" si="4"/>
        <v>1.005029261</v>
      </c>
      <c r="M68" s="6">
        <f t="shared" si="5"/>
        <v>0.9124017636</v>
      </c>
      <c r="N68" s="3"/>
      <c r="O68" s="3">
        <v>6.6</v>
      </c>
      <c r="P68" s="3">
        <v>20211.5940785105</v>
      </c>
      <c r="Q68" s="3">
        <v>19798.0524527635</v>
      </c>
      <c r="R68" s="4">
        <v>-2.631937199E-11</v>
      </c>
      <c r="S68" s="4">
        <f t="shared" si="6"/>
        <v>391962880.9</v>
      </c>
      <c r="T68" s="3">
        <f t="shared" si="7"/>
        <v>19798.05245</v>
      </c>
      <c r="U68" s="3">
        <v>17512.5568722614</v>
      </c>
      <c r="V68" s="3">
        <v>9937.8147307514</v>
      </c>
      <c r="W68" s="3">
        <v>-13829.073037546</v>
      </c>
      <c r="X68" s="3">
        <f t="shared" si="8"/>
        <v>290003422.7</v>
      </c>
      <c r="Y68" s="3">
        <f t="shared" si="9"/>
        <v>17029.48686</v>
      </c>
      <c r="AA68" s="3">
        <v>-5.0</v>
      </c>
      <c r="AB68" s="3">
        <v>7.0</v>
      </c>
      <c r="AC68" s="3">
        <v>35837.6398481</v>
      </c>
    </row>
    <row r="69" ht="12.75" customHeight="1">
      <c r="A69" s="3">
        <v>-33.0</v>
      </c>
      <c r="B69" s="3">
        <v>28435.9165167309</v>
      </c>
      <c r="C69" s="3"/>
      <c r="D69" s="3">
        <v>29182.7780013292</v>
      </c>
      <c r="E69" s="3">
        <v>-1654.5772322829</v>
      </c>
      <c r="F69" s="3">
        <v>890.105865074244</v>
      </c>
      <c r="G69" s="3">
        <v>0.06253283202584</v>
      </c>
      <c r="H69" s="5">
        <f t="shared" si="1"/>
        <v>28418.36917</v>
      </c>
      <c r="I69" s="3">
        <v>-1507.8752169694</v>
      </c>
      <c r="J69" s="6">
        <f t="shared" si="2"/>
        <v>28565.07118</v>
      </c>
      <c r="K69" s="6">
        <f t="shared" si="3"/>
        <v>2.856507118</v>
      </c>
      <c r="L69" s="6">
        <f t="shared" si="4"/>
        <v>1.005162225</v>
      </c>
      <c r="M69" s="6">
        <f t="shared" si="5"/>
        <v>0.9113356497</v>
      </c>
      <c r="N69" s="3"/>
      <c r="O69" s="3">
        <v>6.7</v>
      </c>
      <c r="P69" s="3">
        <v>20858.0048613208</v>
      </c>
      <c r="Q69" s="3">
        <v>20467.2903096184</v>
      </c>
      <c r="R69" s="4">
        <v>-3.336576074E-11</v>
      </c>
      <c r="S69" s="4">
        <f t="shared" si="6"/>
        <v>418909972.6</v>
      </c>
      <c r="T69" s="3">
        <f t="shared" si="7"/>
        <v>20467.29031</v>
      </c>
      <c r="U69" s="3">
        <v>17951.5857833289</v>
      </c>
      <c r="V69" s="3">
        <v>10190.9110594898</v>
      </c>
      <c r="W69" s="3">
        <v>-14217.786942138</v>
      </c>
      <c r="X69" s="3">
        <f t="shared" si="8"/>
        <v>306000133.8</v>
      </c>
      <c r="Y69" s="3">
        <f t="shared" si="9"/>
        <v>17492.85951</v>
      </c>
      <c r="AA69" s="3">
        <v>-5.0</v>
      </c>
      <c r="AB69" s="3">
        <v>8.0</v>
      </c>
      <c r="AC69" s="3">
        <v>45981.3825634</v>
      </c>
    </row>
    <row r="70" ht="12.75" customHeight="1">
      <c r="A70" s="3">
        <v>-32.0</v>
      </c>
      <c r="B70" s="3">
        <v>29529.0843890027</v>
      </c>
      <c r="C70" s="3"/>
      <c r="D70" s="3">
        <v>30331.7017625533</v>
      </c>
      <c r="E70" s="3">
        <v>-1750.5115359069</v>
      </c>
      <c r="F70" s="3">
        <v>929.914196097786</v>
      </c>
      <c r="G70" s="3">
        <v>0.05985044000378</v>
      </c>
      <c r="H70" s="5">
        <f t="shared" si="1"/>
        <v>29511.16427</v>
      </c>
      <c r="I70" s="3">
        <v>-1592.7109897791</v>
      </c>
      <c r="J70" s="6">
        <f t="shared" si="2"/>
        <v>29668.96482</v>
      </c>
      <c r="K70" s="6">
        <f t="shared" si="3"/>
        <v>2.966896482</v>
      </c>
      <c r="L70" s="6">
        <f t="shared" si="4"/>
        <v>1.005347147</v>
      </c>
      <c r="M70" s="6">
        <f t="shared" si="5"/>
        <v>0.9098546094</v>
      </c>
      <c r="N70" s="3"/>
      <c r="O70" s="3">
        <v>6.8</v>
      </c>
      <c r="P70" s="3">
        <v>21505.9255383806</v>
      </c>
      <c r="Q70" s="3">
        <v>21136.5281664734</v>
      </c>
      <c r="R70" s="4">
        <v>-4.067413307E-11</v>
      </c>
      <c r="S70" s="4">
        <f t="shared" si="6"/>
        <v>446752822.9</v>
      </c>
      <c r="T70" s="3">
        <f t="shared" si="7"/>
        <v>21136.52817</v>
      </c>
      <c r="U70" s="3">
        <v>18392.4739934343</v>
      </c>
      <c r="V70" s="3">
        <v>10444.1305160439</v>
      </c>
      <c r="W70" s="3">
        <v>-14606.644045887</v>
      </c>
      <c r="X70" s="3">
        <f t="shared" si="8"/>
        <v>322433912.5</v>
      </c>
      <c r="Y70" s="3">
        <f t="shared" si="9"/>
        <v>17956.44487</v>
      </c>
      <c r="AA70" s="3">
        <v>-4.0</v>
      </c>
      <c r="AB70" s="3">
        <v>-8.0</v>
      </c>
      <c r="AC70" s="3">
        <v>39747.4545376</v>
      </c>
    </row>
    <row r="71" ht="12.75" customHeight="1">
      <c r="A71" s="3">
        <v>-31.0</v>
      </c>
      <c r="B71" s="3">
        <v>30543.1999863978</v>
      </c>
      <c r="C71" s="3"/>
      <c r="D71" s="3">
        <v>31406.7474412001</v>
      </c>
      <c r="E71" s="3">
        <v>-1853.8972263641</v>
      </c>
      <c r="F71" s="3">
        <v>972.034769503751</v>
      </c>
      <c r="G71" s="3">
        <v>0.06291033452784</v>
      </c>
      <c r="H71" s="5">
        <f t="shared" si="1"/>
        <v>30524.94789</v>
      </c>
      <c r="I71" s="3">
        <v>-1683.2138026355</v>
      </c>
      <c r="J71" s="6">
        <f t="shared" si="2"/>
        <v>30695.63132</v>
      </c>
      <c r="K71" s="6">
        <f t="shared" si="3"/>
        <v>3.069563132</v>
      </c>
      <c r="L71" s="6">
        <f t="shared" si="4"/>
        <v>1.005591604</v>
      </c>
      <c r="M71" s="6">
        <f t="shared" si="5"/>
        <v>0.9079326398</v>
      </c>
      <c r="N71" s="3"/>
      <c r="O71" s="3">
        <v>6.9</v>
      </c>
      <c r="P71" s="3">
        <v>22155.2236413209</v>
      </c>
      <c r="Q71" s="3">
        <v>21805.7660233284</v>
      </c>
      <c r="R71" s="4">
        <v>-4.772052182E-11</v>
      </c>
      <c r="S71" s="4">
        <f t="shared" si="6"/>
        <v>475491431.9</v>
      </c>
      <c r="T71" s="3">
        <f t="shared" si="7"/>
        <v>21805.76602</v>
      </c>
      <c r="U71" s="3">
        <v>18832.8157452591</v>
      </c>
      <c r="V71" s="3">
        <v>10695.5220833154</v>
      </c>
      <c r="W71" s="3">
        <v>-14995.368134869</v>
      </c>
      <c r="X71" s="3">
        <f t="shared" si="8"/>
        <v>339255258.1</v>
      </c>
      <c r="Y71" s="3">
        <f t="shared" si="9"/>
        <v>18418.88319</v>
      </c>
      <c r="AA71" s="3">
        <v>-4.0</v>
      </c>
      <c r="AB71" s="3">
        <v>-7.0</v>
      </c>
      <c r="AC71" s="3">
        <v>31153.5907465</v>
      </c>
    </row>
    <row r="72" ht="12.75" customHeight="1">
      <c r="A72" s="3">
        <v>-30.0</v>
      </c>
      <c r="B72" s="3">
        <v>31459.5300578286</v>
      </c>
      <c r="C72" s="3"/>
      <c r="D72" s="3">
        <v>32389.6363544279</v>
      </c>
      <c r="E72" s="3">
        <v>-1965.209233311</v>
      </c>
      <c r="F72" s="3">
        <v>1016.51210132879</v>
      </c>
      <c r="G72" s="3">
        <v>0.06022510476601</v>
      </c>
      <c r="H72" s="5">
        <f t="shared" si="1"/>
        <v>31440.99945</v>
      </c>
      <c r="I72" s="3">
        <v>-1779.3434701188</v>
      </c>
      <c r="J72" s="6">
        <f t="shared" si="2"/>
        <v>31626.86521</v>
      </c>
      <c r="K72" s="6">
        <f t="shared" si="3"/>
        <v>3.162686521</v>
      </c>
      <c r="L72" s="6">
        <f t="shared" si="4"/>
        <v>1.005911573</v>
      </c>
      <c r="M72" s="6">
        <f t="shared" si="5"/>
        <v>0.905421896</v>
      </c>
      <c r="N72" s="3"/>
      <c r="O72" s="3">
        <v>7.0</v>
      </c>
      <c r="P72" s="3">
        <v>22805.7815213293</v>
      </c>
      <c r="Q72" s="3">
        <v>22475.0038801833</v>
      </c>
      <c r="R72" s="4">
        <v>-5.476691058E-11</v>
      </c>
      <c r="S72" s="4">
        <f t="shared" si="6"/>
        <v>505125799.4</v>
      </c>
      <c r="T72" s="3">
        <f t="shared" si="7"/>
        <v>22475.00388</v>
      </c>
      <c r="U72" s="3">
        <v>19272.1908151312</v>
      </c>
      <c r="V72" s="3">
        <v>10944.7677349429</v>
      </c>
      <c r="W72" s="3">
        <v>-15383.907202827</v>
      </c>
      <c r="X72" s="3">
        <f t="shared" si="8"/>
        <v>356452541.6</v>
      </c>
      <c r="Y72" s="3">
        <f t="shared" si="9"/>
        <v>18879.95078</v>
      </c>
      <c r="AA72" s="3">
        <v>-4.0</v>
      </c>
      <c r="AB72" s="3">
        <v>-6.0</v>
      </c>
      <c r="AC72" s="3">
        <v>20260.7754379</v>
      </c>
    </row>
    <row r="73" ht="12.75" customHeight="1">
      <c r="A73" s="3">
        <v>-29.0</v>
      </c>
      <c r="B73" s="3">
        <v>32258.9355910532</v>
      </c>
      <c r="C73" s="3"/>
      <c r="D73" s="3">
        <v>33261.684475385</v>
      </c>
      <c r="E73" s="3">
        <v>-2085.0939383254</v>
      </c>
      <c r="F73" s="3">
        <v>1063.59634846334</v>
      </c>
      <c r="G73" s="3">
        <v>0.05054636735941</v>
      </c>
      <c r="H73" s="5">
        <f t="shared" si="1"/>
        <v>32240.23743</v>
      </c>
      <c r="I73" s="3">
        <v>-1881.1830845252</v>
      </c>
      <c r="J73" s="6">
        <f t="shared" si="2"/>
        <v>32444.14829</v>
      </c>
      <c r="K73" s="6">
        <f t="shared" si="3"/>
        <v>3.244414829</v>
      </c>
      <c r="L73" s="6">
        <f t="shared" si="4"/>
        <v>1.006324732</v>
      </c>
      <c r="M73" s="6">
        <f t="shared" si="5"/>
        <v>0.9022054354</v>
      </c>
      <c r="N73" s="3"/>
      <c r="O73" s="3">
        <v>7.1</v>
      </c>
      <c r="P73" s="3">
        <v>23457.4943646449</v>
      </c>
      <c r="Q73" s="3">
        <v>23144.2417370383</v>
      </c>
      <c r="R73" s="4">
        <v>-6.174780345E-11</v>
      </c>
      <c r="S73" s="4">
        <f t="shared" si="6"/>
        <v>535655925.6</v>
      </c>
      <c r="T73" s="3">
        <f t="shared" si="7"/>
        <v>23144.24174</v>
      </c>
      <c r="U73" s="3">
        <v>19712.6967217013</v>
      </c>
      <c r="V73" s="3">
        <v>11193.2470369951</v>
      </c>
      <c r="W73" s="3">
        <v>-15772.766500617</v>
      </c>
      <c r="X73" s="3">
        <f t="shared" si="8"/>
        <v>374068942.3</v>
      </c>
      <c r="Y73" s="3">
        <f t="shared" si="9"/>
        <v>19340.86198</v>
      </c>
      <c r="AA73" s="3">
        <v>-4.0</v>
      </c>
      <c r="AB73" s="3">
        <v>-5.0</v>
      </c>
      <c r="AC73" s="3">
        <v>15715.1394516</v>
      </c>
    </row>
    <row r="74" ht="12.75" customHeight="1">
      <c r="A74" s="3">
        <v>-28.0</v>
      </c>
      <c r="B74" s="3">
        <v>32924.875494633</v>
      </c>
      <c r="C74" s="3"/>
      <c r="D74" s="3">
        <v>34006.8860119591</v>
      </c>
      <c r="E74" s="3">
        <v>-2213.855217211</v>
      </c>
      <c r="F74" s="3">
        <v>1113.12996931311</v>
      </c>
      <c r="G74" s="3">
        <v>0.03363829923874</v>
      </c>
      <c r="H74" s="5">
        <f t="shared" si="1"/>
        <v>32906.1944</v>
      </c>
      <c r="I74" s="3">
        <v>-1988.3569910388</v>
      </c>
      <c r="J74" s="6">
        <f t="shared" si="2"/>
        <v>33131.69263</v>
      </c>
      <c r="K74" s="6">
        <f t="shared" si="3"/>
        <v>3.313169263</v>
      </c>
      <c r="L74" s="6">
        <f t="shared" si="4"/>
        <v>1.006852759</v>
      </c>
      <c r="M74" s="6">
        <f t="shared" si="5"/>
        <v>0.8981422884</v>
      </c>
      <c r="N74" s="3"/>
      <c r="O74" s="3">
        <v>7.2</v>
      </c>
      <c r="P74" s="3">
        <v>24131.8413195537</v>
      </c>
      <c r="Q74" s="3">
        <v>23835.6668500553</v>
      </c>
      <c r="R74" s="4">
        <v>-6.470417661E-11</v>
      </c>
      <c r="S74" s="4">
        <f t="shared" si="6"/>
        <v>568139014.2</v>
      </c>
      <c r="T74" s="3">
        <f t="shared" si="7"/>
        <v>23835.66685</v>
      </c>
      <c r="U74" s="3">
        <v>20160.1723306316</v>
      </c>
      <c r="V74" s="3">
        <v>11443.9024479113</v>
      </c>
      <c r="W74" s="3">
        <v>-16168.414141237</v>
      </c>
      <c r="X74" s="3">
        <f t="shared" si="8"/>
        <v>392380519.1</v>
      </c>
      <c r="Y74" s="3">
        <f t="shared" si="9"/>
        <v>19808.5971</v>
      </c>
      <c r="AA74" s="3">
        <v>-4.0</v>
      </c>
      <c r="AB74" s="3">
        <v>-4.0</v>
      </c>
      <c r="AC74" s="3">
        <v>12666.5224012</v>
      </c>
    </row>
    <row r="75" ht="12.75" customHeight="1">
      <c r="A75" s="3">
        <v>-27.0</v>
      </c>
      <c r="B75" s="3">
        <v>33441.6601488571</v>
      </c>
      <c r="C75" s="3"/>
      <c r="D75" s="3">
        <v>34610.0763805614</v>
      </c>
      <c r="E75" s="3">
        <v>-2351.8085729922</v>
      </c>
      <c r="F75" s="3">
        <v>1165.02818560859</v>
      </c>
      <c r="G75" s="3">
        <v>0.0163468503171</v>
      </c>
      <c r="H75" s="5">
        <f t="shared" si="1"/>
        <v>33423.31234</v>
      </c>
      <c r="I75" s="3">
        <v>-2100.340764742</v>
      </c>
      <c r="J75" s="6">
        <f t="shared" si="2"/>
        <v>33674.78015</v>
      </c>
      <c r="K75" s="6">
        <f t="shared" si="3"/>
        <v>3.367478015</v>
      </c>
      <c r="L75" s="6">
        <f t="shared" si="4"/>
        <v>1.007523725</v>
      </c>
      <c r="M75" s="6">
        <f t="shared" si="5"/>
        <v>0.8930747123</v>
      </c>
      <c r="N75" s="3"/>
      <c r="O75" s="3">
        <v>7.3</v>
      </c>
      <c r="P75" s="3">
        <v>24871.225310814</v>
      </c>
      <c r="Q75" s="3">
        <v>24592.7882977082</v>
      </c>
      <c r="R75" s="4">
        <v>-5.543320291E-11</v>
      </c>
      <c r="S75" s="4">
        <f t="shared" si="6"/>
        <v>604805236.3</v>
      </c>
      <c r="T75" s="3">
        <f t="shared" si="7"/>
        <v>24592.7883</v>
      </c>
      <c r="U75" s="3">
        <v>20610.2244561052</v>
      </c>
      <c r="V75" s="3">
        <v>11695.0958848947</v>
      </c>
      <c r="W75" s="3">
        <v>-16565.74014706</v>
      </c>
      <c r="X75" s="3">
        <f t="shared" si="8"/>
        <v>411199014.4</v>
      </c>
      <c r="Y75" s="3">
        <f t="shared" si="9"/>
        <v>20278.04267</v>
      </c>
      <c r="AA75" s="3">
        <v>-4.0</v>
      </c>
      <c r="AB75" s="3">
        <v>-3.0</v>
      </c>
      <c r="AC75" s="3">
        <v>10745.868654</v>
      </c>
    </row>
    <row r="76" ht="12.75" customHeight="1">
      <c r="A76" s="3">
        <v>-26.0</v>
      </c>
      <c r="B76" s="3">
        <v>33793.1077124471</v>
      </c>
      <c r="C76" s="3"/>
      <c r="D76" s="3">
        <v>35055.4927099194</v>
      </c>
      <c r="E76" s="3">
        <v>-2499.4841809879</v>
      </c>
      <c r="F76" s="3">
        <v>1219.56961057266</v>
      </c>
      <c r="G76" s="4">
        <v>-7.071277311E-5</v>
      </c>
      <c r="H76" s="5">
        <f t="shared" si="1"/>
        <v>33775.57807</v>
      </c>
      <c r="I76" s="3">
        <v>-2216.5233740838</v>
      </c>
      <c r="J76" s="6">
        <f t="shared" si="2"/>
        <v>34058.53888</v>
      </c>
      <c r="K76" s="6">
        <f t="shared" si="3"/>
        <v>3.405853888</v>
      </c>
      <c r="L76" s="6">
        <f t="shared" si="4"/>
        <v>1.008377675</v>
      </c>
      <c r="M76" s="6">
        <f t="shared" si="5"/>
        <v>0.8867923194</v>
      </c>
      <c r="N76" s="3"/>
      <c r="O76" s="3">
        <v>7.4</v>
      </c>
      <c r="P76" s="3">
        <v>25620.1429514963</v>
      </c>
      <c r="Q76" s="3">
        <v>25358.6032273643</v>
      </c>
      <c r="R76" s="4">
        <v>-4.305771413E-11</v>
      </c>
      <c r="S76" s="4">
        <f t="shared" si="6"/>
        <v>643058757.6</v>
      </c>
      <c r="T76" s="3">
        <f t="shared" si="7"/>
        <v>25358.60323</v>
      </c>
      <c r="U76" s="3">
        <v>21052.6973681438</v>
      </c>
      <c r="V76" s="3">
        <v>11955.7356822802</v>
      </c>
      <c r="W76" s="3">
        <v>-16944.697754371</v>
      </c>
      <c r="X76" s="3">
        <f t="shared" si="8"/>
        <v>430062397.7</v>
      </c>
      <c r="Y76" s="3">
        <f t="shared" si="9"/>
        <v>20737.94584</v>
      </c>
      <c r="AA76" s="3">
        <v>-4.0</v>
      </c>
      <c r="AB76" s="3">
        <v>-2.0</v>
      </c>
      <c r="AC76" s="3">
        <v>9696.43173926</v>
      </c>
    </row>
    <row r="77" ht="12.75" customHeight="1">
      <c r="A77" s="3">
        <v>-25.0</v>
      </c>
      <c r="B77" s="3">
        <v>33967.0143153135</v>
      </c>
      <c r="C77" s="3"/>
      <c r="D77" s="3">
        <v>35331.5075755533</v>
      </c>
      <c r="E77" s="3">
        <v>-2657.1344458971</v>
      </c>
      <c r="F77" s="3">
        <v>1276.56877436671</v>
      </c>
      <c r="G77" s="3">
        <v>-0.0298929572062</v>
      </c>
      <c r="H77" s="5">
        <f t="shared" si="1"/>
        <v>33950.91201</v>
      </c>
      <c r="I77" s="3">
        <v>-2336.0727898855</v>
      </c>
      <c r="J77" s="6">
        <f t="shared" si="2"/>
        <v>34271.97367</v>
      </c>
      <c r="K77" s="6">
        <f t="shared" si="3"/>
        <v>3.427197367</v>
      </c>
      <c r="L77" s="6">
        <f t="shared" si="4"/>
        <v>1.009456643</v>
      </c>
      <c r="M77" s="6">
        <f t="shared" si="5"/>
        <v>0.879169962</v>
      </c>
      <c r="N77" s="3"/>
      <c r="O77" s="3">
        <v>7.5</v>
      </c>
      <c r="P77" s="3">
        <v>26408.1035244769</v>
      </c>
      <c r="Q77" s="3">
        <v>26163.7515183645</v>
      </c>
      <c r="R77" s="4">
        <v>-1.806887125E-11</v>
      </c>
      <c r="S77" s="4">
        <f t="shared" si="6"/>
        <v>684541893.5</v>
      </c>
      <c r="T77" s="3">
        <f t="shared" si="7"/>
        <v>26163.75152</v>
      </c>
      <c r="U77" s="3">
        <v>21472.8826988884</v>
      </c>
      <c r="V77" s="3">
        <v>12211.5983425431</v>
      </c>
      <c r="W77" s="3">
        <v>-17297.704745699</v>
      </c>
      <c r="X77" s="3">
        <f t="shared" si="8"/>
        <v>448333723.5</v>
      </c>
      <c r="Y77" s="3">
        <f t="shared" si="9"/>
        <v>21173.8925</v>
      </c>
      <c r="AA77" s="3">
        <v>-4.0</v>
      </c>
      <c r="AB77" s="3">
        <v>-1.0</v>
      </c>
      <c r="AC77" s="3">
        <v>9172.98912365</v>
      </c>
    </row>
    <row r="78" ht="12.75" customHeight="1">
      <c r="A78" s="3">
        <v>-24.0</v>
      </c>
      <c r="B78" s="3">
        <v>33952.2713304159</v>
      </c>
      <c r="C78" s="3"/>
      <c r="D78" s="3">
        <v>35427.5217001755</v>
      </c>
      <c r="E78" s="3">
        <v>-2824.8126493876</v>
      </c>
      <c r="F78" s="3">
        <v>1335.98326868141</v>
      </c>
      <c r="G78" s="3">
        <v>0.01340267429783</v>
      </c>
      <c r="H78" s="5">
        <f t="shared" si="1"/>
        <v>33938.70572</v>
      </c>
      <c r="I78" s="3">
        <v>-2457.7324002571</v>
      </c>
      <c r="J78" s="6">
        <f t="shared" si="2"/>
        <v>34305.78597</v>
      </c>
      <c r="K78" s="6">
        <f t="shared" si="3"/>
        <v>3.430578597</v>
      </c>
      <c r="L78" s="6">
        <f t="shared" si="4"/>
        <v>1.010815977</v>
      </c>
      <c r="M78" s="6">
        <f t="shared" si="5"/>
        <v>0.8700514708</v>
      </c>
      <c r="N78" s="3"/>
      <c r="O78" s="3">
        <v>7.6</v>
      </c>
      <c r="P78" s="3">
        <v>27197.2374306141</v>
      </c>
      <c r="Q78" s="3">
        <v>26968.8998093647</v>
      </c>
      <c r="R78" s="4">
        <v>7.1260040319E-12</v>
      </c>
      <c r="S78" s="4">
        <f t="shared" si="6"/>
        <v>727321556.9</v>
      </c>
      <c r="T78" s="3">
        <f t="shared" si="7"/>
        <v>26968.89981</v>
      </c>
      <c r="U78" s="3">
        <v>21872.9140891902</v>
      </c>
      <c r="V78" s="3">
        <v>12434.5587620677</v>
      </c>
      <c r="W78" s="3">
        <v>-17649.311606223</v>
      </c>
      <c r="X78" s="3">
        <f t="shared" si="8"/>
        <v>466116451.8</v>
      </c>
      <c r="Y78" s="3">
        <f t="shared" si="9"/>
        <v>21589.73024</v>
      </c>
      <c r="AA78" s="3">
        <v>-4.0</v>
      </c>
      <c r="AB78" s="3">
        <v>0.0</v>
      </c>
      <c r="AC78" s="3">
        <v>9085.50277375</v>
      </c>
    </row>
    <row r="79" ht="12.75" customHeight="1">
      <c r="A79" s="3">
        <v>-23.0</v>
      </c>
      <c r="B79" s="3">
        <v>33742.381604666</v>
      </c>
      <c r="C79" s="3"/>
      <c r="D79" s="3">
        <v>35337.8406667716</v>
      </c>
      <c r="E79" s="3">
        <v>-3003.2770463068</v>
      </c>
      <c r="F79" s="3">
        <v>1397.44881083731</v>
      </c>
      <c r="G79" s="3">
        <v>-0.1014574722029</v>
      </c>
      <c r="H79" s="5">
        <f t="shared" si="1"/>
        <v>33731.91097</v>
      </c>
      <c r="I79" s="3">
        <v>-2581.395342084</v>
      </c>
      <c r="J79" s="6">
        <f t="shared" si="2"/>
        <v>34153.79268</v>
      </c>
      <c r="K79" s="6">
        <f t="shared" si="3"/>
        <v>3.415379268</v>
      </c>
      <c r="L79" s="6">
        <f t="shared" si="4"/>
        <v>1.012506902</v>
      </c>
      <c r="M79" s="6">
        <f t="shared" si="5"/>
        <v>0.8595262116</v>
      </c>
      <c r="N79" s="3"/>
      <c r="O79" s="3">
        <v>7.7</v>
      </c>
      <c r="P79" s="3">
        <v>27987.445420192</v>
      </c>
      <c r="Q79" s="3">
        <v>27774.0481003649</v>
      </c>
      <c r="R79" s="4">
        <v>3.1908814505E-11</v>
      </c>
      <c r="S79" s="4">
        <f t="shared" si="6"/>
        <v>771397747.9</v>
      </c>
      <c r="T79" s="3">
        <f t="shared" si="7"/>
        <v>27774.0481</v>
      </c>
      <c r="U79" s="3">
        <v>22273.7190748577</v>
      </c>
      <c r="V79" s="3">
        <v>12657.5191815923</v>
      </c>
      <c r="W79" s="3">
        <v>-18000.918466746</v>
      </c>
      <c r="X79" s="3">
        <f t="shared" si="8"/>
        <v>484245857.5</v>
      </c>
      <c r="Y79" s="3">
        <f t="shared" si="9"/>
        <v>22005.58696</v>
      </c>
      <c r="AA79" s="3">
        <v>-4.0</v>
      </c>
      <c r="AB79" s="3">
        <v>1.0</v>
      </c>
      <c r="AC79" s="3">
        <v>7931.05857903</v>
      </c>
    </row>
    <row r="80" ht="12.75" customHeight="1">
      <c r="A80" s="3">
        <v>-22.0</v>
      </c>
      <c r="B80" s="3">
        <v>33328.5123684026</v>
      </c>
      <c r="C80" s="3"/>
      <c r="D80" s="3">
        <v>35053.9596463378</v>
      </c>
      <c r="E80" s="3">
        <v>-3192.3043665217</v>
      </c>
      <c r="F80" s="3">
        <v>1461.07055058556</v>
      </c>
      <c r="G80" s="3">
        <v>-0.2561858565037</v>
      </c>
      <c r="H80" s="5">
        <f t="shared" si="1"/>
        <v>33322.46964</v>
      </c>
      <c r="I80" s="3">
        <v>-2704.9524552064</v>
      </c>
      <c r="J80" s="6">
        <f t="shared" si="2"/>
        <v>33809.82156</v>
      </c>
      <c r="K80" s="6">
        <f t="shared" si="3"/>
        <v>3.380982156</v>
      </c>
      <c r="L80" s="6">
        <f t="shared" si="4"/>
        <v>1.014625324</v>
      </c>
      <c r="M80" s="6">
        <f t="shared" si="5"/>
        <v>0.8473353868</v>
      </c>
      <c r="N80" s="3"/>
      <c r="O80" s="3">
        <v>7.8</v>
      </c>
      <c r="P80" s="3">
        <v>28788.4470674151</v>
      </c>
      <c r="Q80" s="3">
        <v>28589.302641055</v>
      </c>
      <c r="R80" s="4">
        <v>5.4042715938E-11</v>
      </c>
      <c r="S80" s="4">
        <f t="shared" si="6"/>
        <v>817348225.5</v>
      </c>
      <c r="T80" s="3">
        <f t="shared" si="7"/>
        <v>28589.30264</v>
      </c>
      <c r="U80" s="3">
        <v>22687.4307802549</v>
      </c>
      <c r="V80" s="3">
        <v>12889.2769098243</v>
      </c>
      <c r="W80" s="3">
        <v>-18361.411856053</v>
      </c>
      <c r="X80" s="3">
        <f t="shared" si="8"/>
        <v>503274904.6</v>
      </c>
      <c r="Y80" s="3">
        <f t="shared" si="9"/>
        <v>22433.78935</v>
      </c>
      <c r="AA80" s="3">
        <v>-4.0</v>
      </c>
      <c r="AB80" s="3">
        <v>2.0</v>
      </c>
      <c r="AC80" s="3">
        <v>9324.27237916</v>
      </c>
    </row>
    <row r="81" ht="12.75" customHeight="1">
      <c r="A81" s="3">
        <v>-21.0</v>
      </c>
      <c r="B81" s="3">
        <v>32708.4472527567</v>
      </c>
      <c r="C81" s="3"/>
      <c r="D81" s="3">
        <v>34574.3489323606</v>
      </c>
      <c r="E81" s="3">
        <v>-3392.3921962006</v>
      </c>
      <c r="F81" s="3">
        <v>1526.85657346203</v>
      </c>
      <c r="G81" s="3">
        <v>-0.4844149190268</v>
      </c>
      <c r="H81" s="5">
        <f t="shared" si="1"/>
        <v>32708.32889</v>
      </c>
      <c r="I81" s="3">
        <v>-2828.0954909238</v>
      </c>
      <c r="J81" s="6">
        <f t="shared" si="2"/>
        <v>33272.6256</v>
      </c>
      <c r="K81" s="6">
        <f t="shared" si="3"/>
        <v>3.32726256</v>
      </c>
      <c r="L81" s="6">
        <f t="shared" si="4"/>
        <v>1.017252386</v>
      </c>
      <c r="M81" s="6">
        <f t="shared" si="5"/>
        <v>0.8336581761</v>
      </c>
      <c r="N81" s="3"/>
      <c r="O81" s="3">
        <v>7.9</v>
      </c>
      <c r="P81" s="3">
        <v>29699.4740111031</v>
      </c>
      <c r="Q81" s="3">
        <v>29516.7401472022</v>
      </c>
      <c r="R81" s="4">
        <v>4.4485752075E-11</v>
      </c>
      <c r="S81" s="4">
        <f t="shared" si="6"/>
        <v>871237948.9</v>
      </c>
      <c r="T81" s="3">
        <f t="shared" si="7"/>
        <v>29516.74015</v>
      </c>
      <c r="U81" s="3">
        <v>23105.6921180543</v>
      </c>
      <c r="V81" s="3">
        <v>13123.8059993902</v>
      </c>
      <c r="W81" s="3">
        <v>-18724.704713138</v>
      </c>
      <c r="X81" s="3">
        <f t="shared" si="8"/>
        <v>522848850.5</v>
      </c>
      <c r="Y81" s="3">
        <f t="shared" si="9"/>
        <v>22865.88836</v>
      </c>
      <c r="AA81" s="3">
        <v>-4.0</v>
      </c>
      <c r="AB81" s="3">
        <v>3.0</v>
      </c>
      <c r="AC81" s="3">
        <v>11571.0072433</v>
      </c>
    </row>
    <row r="82" ht="12.75" customHeight="1">
      <c r="A82" s="3">
        <v>-20.0</v>
      </c>
      <c r="B82" s="3">
        <v>31891.223510066</v>
      </c>
      <c r="C82" s="3"/>
      <c r="D82" s="3">
        <v>33909.357612299</v>
      </c>
      <c r="E82" s="3">
        <v>-3604.5667107042</v>
      </c>
      <c r="F82" s="3">
        <v>1595.56121691429</v>
      </c>
      <c r="G82" s="3">
        <v>-0.2328620824074</v>
      </c>
      <c r="H82" s="5">
        <f t="shared" si="1"/>
        <v>31900.11926</v>
      </c>
      <c r="I82" s="3">
        <v>-2953.9376514285</v>
      </c>
      <c r="J82" s="6">
        <f t="shared" si="2"/>
        <v>32550.74832</v>
      </c>
      <c r="K82" s="6">
        <f t="shared" si="3"/>
        <v>3.255074832</v>
      </c>
      <c r="L82" s="6">
        <f t="shared" si="4"/>
        <v>1.020395819</v>
      </c>
      <c r="M82" s="6">
        <f t="shared" si="5"/>
        <v>0.8194986772</v>
      </c>
      <c r="N82" s="3"/>
      <c r="O82" s="3">
        <v>8.0</v>
      </c>
      <c r="P82" s="3">
        <v>30611.7559160414</v>
      </c>
      <c r="Q82" s="3">
        <v>30444.1776533493</v>
      </c>
      <c r="R82" s="4">
        <v>3.5010266911E-11</v>
      </c>
      <c r="S82" s="4">
        <f t="shared" si="6"/>
        <v>926847953</v>
      </c>
      <c r="T82" s="3">
        <f t="shared" si="7"/>
        <v>30444.17765</v>
      </c>
      <c r="U82" s="3">
        <v>23523.5491631425</v>
      </c>
      <c r="V82" s="3">
        <v>13365.1369689186</v>
      </c>
      <c r="W82" s="3">
        <v>-19081.933027315</v>
      </c>
      <c r="X82" s="3">
        <f t="shared" si="8"/>
        <v>542747054.3</v>
      </c>
      <c r="Y82" s="3">
        <f t="shared" si="9"/>
        <v>23296.93229</v>
      </c>
      <c r="AA82" s="3">
        <v>-4.0</v>
      </c>
      <c r="AB82" s="3">
        <v>4.0</v>
      </c>
      <c r="AC82" s="3">
        <v>14650.0463101</v>
      </c>
    </row>
    <row r="83" ht="12.75" customHeight="1">
      <c r="A83" s="3">
        <v>-19.0</v>
      </c>
      <c r="B83" s="3">
        <v>30881.3852426881</v>
      </c>
      <c r="C83" s="3"/>
      <c r="D83" s="3">
        <v>33064.0182338221</v>
      </c>
      <c r="E83" s="3">
        <v>-3829.8049656115</v>
      </c>
      <c r="F83" s="3">
        <v>1667.20680945545</v>
      </c>
      <c r="G83" s="3">
        <v>0.12330478635038</v>
      </c>
      <c r="H83" s="5">
        <f t="shared" si="1"/>
        <v>30901.54338</v>
      </c>
      <c r="I83" s="3">
        <v>-3082.9762166232</v>
      </c>
      <c r="J83" s="6">
        <f t="shared" si="2"/>
        <v>31648.37213</v>
      </c>
      <c r="K83" s="6">
        <f t="shared" si="3"/>
        <v>3.164837213</v>
      </c>
      <c r="L83" s="6">
        <f t="shared" si="4"/>
        <v>1.024168008</v>
      </c>
      <c r="M83" s="6">
        <f t="shared" si="5"/>
        <v>0.8049956184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AA83" s="3">
        <v>-4.0</v>
      </c>
      <c r="AB83" s="3">
        <v>5.0</v>
      </c>
      <c r="AC83" s="3">
        <v>18731.0686673</v>
      </c>
    </row>
    <row r="84" ht="12.75" customHeight="1">
      <c r="A84" s="3">
        <v>-18.0</v>
      </c>
      <c r="B84" s="3">
        <v>29698.4043609069</v>
      </c>
      <c r="C84" s="3"/>
      <c r="D84" s="3">
        <v>32059.0691503478</v>
      </c>
      <c r="E84" s="3">
        <v>-4071.5845495986</v>
      </c>
      <c r="F84" s="3">
        <v>1741.70309806412</v>
      </c>
      <c r="G84" s="3">
        <v>-0.3936518177831</v>
      </c>
      <c r="H84" s="5">
        <f t="shared" si="1"/>
        <v>29728.79405</v>
      </c>
      <c r="I84" s="3">
        <v>-3221.0641341711</v>
      </c>
      <c r="J84" s="6">
        <f t="shared" si="2"/>
        <v>30579.31446</v>
      </c>
      <c r="K84" s="6">
        <f t="shared" si="3"/>
        <v>3.057931446</v>
      </c>
      <c r="L84" s="6">
        <f t="shared" si="4"/>
        <v>1.028609314</v>
      </c>
      <c r="M84" s="6">
        <f t="shared" si="5"/>
        <v>0.7911082516</v>
      </c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AA84" s="3">
        <v>-4.0</v>
      </c>
      <c r="AB84" s="3">
        <v>6.0</v>
      </c>
      <c r="AC84" s="3">
        <v>24053.3774733</v>
      </c>
    </row>
    <row r="85" ht="12.75" customHeight="1">
      <c r="A85" s="3">
        <v>-17.0</v>
      </c>
      <c r="B85" s="3">
        <v>28359.5914115335</v>
      </c>
      <c r="C85" s="3"/>
      <c r="D85" s="3">
        <v>30912.060656189</v>
      </c>
      <c r="E85" s="3">
        <v>-4329.9800592713</v>
      </c>
      <c r="F85" s="3">
        <v>1820.47757507304</v>
      </c>
      <c r="G85" s="3">
        <v>-1.0101725288247</v>
      </c>
      <c r="H85" s="5">
        <f t="shared" si="1"/>
        <v>28401.548</v>
      </c>
      <c r="I85" s="3">
        <v>-3371.1082725604</v>
      </c>
      <c r="J85" s="6">
        <f t="shared" si="2"/>
        <v>29360.41979</v>
      </c>
      <c r="K85" s="6">
        <f t="shared" si="3"/>
        <v>2.936041979</v>
      </c>
      <c r="L85" s="6">
        <f t="shared" si="4"/>
        <v>1.033761251</v>
      </c>
      <c r="M85" s="6">
        <f t="shared" si="5"/>
        <v>0.7785505306</v>
      </c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AA85" s="3">
        <v>-4.0</v>
      </c>
      <c r="AB85" s="3">
        <v>7.0</v>
      </c>
      <c r="AC85" s="3">
        <v>26516.362715</v>
      </c>
    </row>
    <row r="86" ht="12.75" customHeight="1">
      <c r="A86" s="3">
        <v>-16.0</v>
      </c>
      <c r="B86" s="3">
        <v>26898.7716532045</v>
      </c>
      <c r="C86" s="3"/>
      <c r="D86" s="3">
        <v>29657.6090636369</v>
      </c>
      <c r="E86" s="3">
        <v>-4606.094416695</v>
      </c>
      <c r="F86" s="3">
        <v>1906.81895371489</v>
      </c>
      <c r="G86" s="3">
        <v>0.19363477701952</v>
      </c>
      <c r="H86" s="5">
        <f t="shared" si="1"/>
        <v>26958.52724</v>
      </c>
      <c r="I86" s="3">
        <v>-3541.2329163098</v>
      </c>
      <c r="J86" s="6">
        <f t="shared" si="2"/>
        <v>28023.38874</v>
      </c>
      <c r="K86" s="6">
        <f t="shared" si="3"/>
        <v>2.802338874</v>
      </c>
      <c r="L86" s="6">
        <f t="shared" si="4"/>
        <v>1.039499988</v>
      </c>
      <c r="M86" s="6">
        <f t="shared" si="5"/>
        <v>0.7688146607</v>
      </c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AA86" s="3">
        <v>-4.0</v>
      </c>
      <c r="AB86" s="3">
        <v>8.0</v>
      </c>
      <c r="AC86" s="3">
        <v>34382.1706502</v>
      </c>
    </row>
    <row r="87" ht="12.75" customHeight="1">
      <c r="A87" s="3">
        <v>-15.0</v>
      </c>
      <c r="B87" s="3">
        <v>25344.586025221</v>
      </c>
      <c r="C87" s="3"/>
      <c r="D87" s="3">
        <v>28324.375741325</v>
      </c>
      <c r="E87" s="3">
        <v>-4906.0502281074</v>
      </c>
      <c r="F87" s="3">
        <v>1998.08295684457</v>
      </c>
      <c r="G87" s="3">
        <v>-0.7460782901608</v>
      </c>
      <c r="H87" s="5">
        <f t="shared" si="1"/>
        <v>25415.66239</v>
      </c>
      <c r="I87" s="3">
        <v>-3738.0992549298</v>
      </c>
      <c r="J87" s="6">
        <f t="shared" si="2"/>
        <v>26583.61336</v>
      </c>
      <c r="K87" s="6">
        <f t="shared" si="3"/>
        <v>2.658361336</v>
      </c>
      <c r="L87" s="6">
        <f t="shared" si="4"/>
        <v>1.045953985</v>
      </c>
      <c r="M87" s="6">
        <f t="shared" si="5"/>
        <v>0.761936605</v>
      </c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AA87" s="3">
        <v>-3.0</v>
      </c>
      <c r="AB87" s="3">
        <v>-8.0</v>
      </c>
      <c r="AC87" s="3">
        <v>34028.7813516</v>
      </c>
    </row>
    <row r="88" ht="12.75" customHeight="1">
      <c r="A88" s="3">
        <v>-14.0</v>
      </c>
      <c r="B88" s="3">
        <v>23727.5101363548</v>
      </c>
      <c r="C88" s="3"/>
      <c r="D88" s="3">
        <v>26941.6740574421</v>
      </c>
      <c r="E88" s="3">
        <v>-5226.9823786741</v>
      </c>
      <c r="F88" s="3">
        <v>2098.95410636427</v>
      </c>
      <c r="G88" s="3">
        <v>-0.2337702453504</v>
      </c>
      <c r="H88" s="5">
        <f t="shared" si="1"/>
        <v>23813.41201</v>
      </c>
      <c r="I88" s="3">
        <v>-3964.7858312455</v>
      </c>
      <c r="J88" s="6">
        <f t="shared" si="2"/>
        <v>25075.60856</v>
      </c>
      <c r="K88" s="6">
        <f t="shared" si="3"/>
        <v>2.507560856</v>
      </c>
      <c r="L88" s="6">
        <f t="shared" si="4"/>
        <v>1.053003599</v>
      </c>
      <c r="M88" s="6">
        <f t="shared" si="5"/>
        <v>0.7585228998</v>
      </c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AA88" s="3">
        <v>-3.0</v>
      </c>
      <c r="AB88" s="3">
        <v>-7.0</v>
      </c>
      <c r="AC88" s="3">
        <v>26684.0643854</v>
      </c>
    </row>
    <row r="89" ht="12.75" customHeight="1">
      <c r="A89" s="3">
        <v>-13.0</v>
      </c>
      <c r="B89" s="3">
        <v>22074.5685453469</v>
      </c>
      <c r="C89" s="3"/>
      <c r="D89" s="3">
        <v>25534.6660788</v>
      </c>
      <c r="E89" s="3">
        <v>-5571.4402540158</v>
      </c>
      <c r="F89" s="3">
        <v>2208.18015462636</v>
      </c>
      <c r="G89" s="3">
        <v>-0.6331848376782</v>
      </c>
      <c r="H89" s="5">
        <f t="shared" si="1"/>
        <v>22170.77279</v>
      </c>
      <c r="I89" s="3">
        <v>-4223.9008222651</v>
      </c>
      <c r="J89" s="6">
        <f t="shared" si="2"/>
        <v>23518.31223</v>
      </c>
      <c r="K89" s="6">
        <f t="shared" si="3"/>
        <v>2.351831223</v>
      </c>
      <c r="L89" s="6">
        <f t="shared" si="4"/>
        <v>1.060779994</v>
      </c>
      <c r="M89" s="6">
        <f t="shared" si="5"/>
        <v>0.7581344553</v>
      </c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AA89" s="3">
        <v>-3.0</v>
      </c>
      <c r="AB89" s="3">
        <v>-6.0</v>
      </c>
      <c r="AC89" s="3">
        <v>20797.1927247</v>
      </c>
    </row>
    <row r="90" ht="12.75" customHeight="1">
      <c r="A90" s="3">
        <v>-12.0</v>
      </c>
      <c r="B90" s="3">
        <v>20413.8586299799</v>
      </c>
      <c r="C90" s="3"/>
      <c r="D90" s="3">
        <v>24128.4793070556</v>
      </c>
      <c r="E90" s="3">
        <v>-5935.8940572365</v>
      </c>
      <c r="F90" s="3">
        <v>2329.35959998067</v>
      </c>
      <c r="G90" s="3">
        <v>0.68744002526319</v>
      </c>
      <c r="H90" s="5">
        <f t="shared" si="1"/>
        <v>20522.63229</v>
      </c>
      <c r="I90" s="3">
        <v>-4515.3229260349</v>
      </c>
      <c r="J90" s="6">
        <f t="shared" si="2"/>
        <v>21943.20342</v>
      </c>
      <c r="K90" s="6">
        <f t="shared" si="3"/>
        <v>2.194320342</v>
      </c>
      <c r="L90" s="6">
        <f t="shared" si="4"/>
        <v>1.069219733</v>
      </c>
      <c r="M90" s="6">
        <f t="shared" si="5"/>
        <v>0.7606811851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AA90" s="3">
        <v>-3.0</v>
      </c>
      <c r="AB90" s="3">
        <v>-5.0</v>
      </c>
      <c r="AC90" s="3">
        <v>13093.6961862</v>
      </c>
    </row>
    <row r="91" ht="12.75" customHeight="1">
      <c r="A91" s="3">
        <v>-11.0</v>
      </c>
      <c r="B91" s="3">
        <v>18764.8481657529</v>
      </c>
      <c r="C91" s="3"/>
      <c r="D91" s="3">
        <v>22738.9155908367</v>
      </c>
      <c r="E91" s="3">
        <v>-6321.5384112921</v>
      </c>
      <c r="F91" s="3">
        <v>2460.25587773031</v>
      </c>
      <c r="G91" s="3">
        <v>0.56732683702217</v>
      </c>
      <c r="H91" s="5">
        <f t="shared" si="1"/>
        <v>18878.20038</v>
      </c>
      <c r="I91" s="3">
        <v>-4836.4512510804</v>
      </c>
      <c r="J91" s="6">
        <f t="shared" si="2"/>
        <v>20363.28754</v>
      </c>
      <c r="K91" s="6">
        <f t="shared" si="3"/>
        <v>2.036328754</v>
      </c>
      <c r="L91" s="6">
        <f t="shared" si="4"/>
        <v>1.078666776</v>
      </c>
      <c r="M91" s="6">
        <f t="shared" si="5"/>
        <v>0.7650750397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AA91" s="3">
        <v>-3.0</v>
      </c>
      <c r="AB91" s="3">
        <v>-4.0</v>
      </c>
      <c r="AC91" s="3">
        <v>10114.8142122</v>
      </c>
    </row>
    <row r="92" ht="12.75" customHeight="1">
      <c r="A92" s="3">
        <v>-10.0</v>
      </c>
      <c r="B92" s="3">
        <v>17144.4943631021</v>
      </c>
      <c r="C92" s="3"/>
      <c r="D92" s="3">
        <v>21377.446554552</v>
      </c>
      <c r="E92" s="3">
        <v>-6725.1318048964</v>
      </c>
      <c r="F92" s="3">
        <v>2600.51481198239</v>
      </c>
      <c r="G92" s="3">
        <v>-1.9907594250721</v>
      </c>
      <c r="H92" s="5">
        <f t="shared" si="1"/>
        <v>17250.8388</v>
      </c>
      <c r="I92" s="3">
        <v>-5182.0801099055</v>
      </c>
      <c r="J92" s="6">
        <f t="shared" si="2"/>
        <v>18793.8905</v>
      </c>
      <c r="K92" s="6">
        <f t="shared" si="3"/>
        <v>1.87938905</v>
      </c>
      <c r="L92" s="6">
        <f t="shared" si="4"/>
        <v>1.089447923</v>
      </c>
      <c r="M92" s="6">
        <f t="shared" si="5"/>
        <v>0.7705544308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AA92" s="3">
        <v>-3.0</v>
      </c>
      <c r="AB92" s="3">
        <v>-3.0</v>
      </c>
      <c r="AC92" s="3">
        <v>8226.48249952</v>
      </c>
    </row>
    <row r="93" ht="12.75" customHeight="1">
      <c r="A93" s="3">
        <v>-9.0</v>
      </c>
      <c r="B93" s="3">
        <v>15575.304063536</v>
      </c>
      <c r="C93" s="3"/>
      <c r="D93" s="3">
        <v>20060.4643938024</v>
      </c>
      <c r="E93" s="3">
        <v>-7136.5875011573</v>
      </c>
      <c r="F93" s="3">
        <v>2756.50314937859</v>
      </c>
      <c r="G93" s="3">
        <v>-1.4218408371622</v>
      </c>
      <c r="H93" s="5">
        <f t="shared" si="1"/>
        <v>15678.9582</v>
      </c>
      <c r="I93" s="3">
        <v>-5546.0326957662</v>
      </c>
      <c r="J93" s="6">
        <f t="shared" si="2"/>
        <v>17269.51301</v>
      </c>
      <c r="K93" s="6">
        <f t="shared" si="3"/>
        <v>1.726951301</v>
      </c>
      <c r="L93" s="6">
        <f t="shared" si="4"/>
        <v>1.101445184</v>
      </c>
      <c r="M93" s="6">
        <f t="shared" si="5"/>
        <v>0.7771267002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AA93" s="3">
        <v>-3.0</v>
      </c>
      <c r="AB93" s="3">
        <v>-2.0</v>
      </c>
      <c r="AC93" s="3">
        <v>7334.95886191</v>
      </c>
    </row>
    <row r="94" ht="12.75" customHeight="1">
      <c r="A94" s="3">
        <v>-8.0</v>
      </c>
      <c r="B94" s="3">
        <v>14069.7627544422</v>
      </c>
      <c r="C94" s="3"/>
      <c r="D94" s="3">
        <v>18794.2957869537</v>
      </c>
      <c r="E94" s="3">
        <v>-7553.1872267494</v>
      </c>
      <c r="F94" s="3">
        <v>2926.67101066977</v>
      </c>
      <c r="G94" s="3">
        <v>-0.3075697792289</v>
      </c>
      <c r="H94" s="5">
        <f t="shared" si="1"/>
        <v>14167.472</v>
      </c>
      <c r="I94" s="3">
        <v>-5920.5747901148</v>
      </c>
      <c r="J94" s="6">
        <f t="shared" si="2"/>
        <v>15800.08444</v>
      </c>
      <c r="K94" s="6">
        <f t="shared" si="3"/>
        <v>1.580008444</v>
      </c>
      <c r="L94" s="6">
        <f t="shared" si="4"/>
        <v>1.11523668</v>
      </c>
      <c r="M94" s="6">
        <f t="shared" si="5"/>
        <v>0.7838511892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AA94" s="3">
        <v>-3.0</v>
      </c>
      <c r="AB94" s="3">
        <v>-1.0</v>
      </c>
      <c r="AC94" s="3">
        <v>7042.75982976</v>
      </c>
    </row>
    <row r="95" ht="12.75" customHeight="1">
      <c r="A95" s="3">
        <v>-7.0</v>
      </c>
      <c r="B95" s="3">
        <v>12642.4162912452</v>
      </c>
      <c r="C95" s="3"/>
      <c r="D95" s="3">
        <v>17583.4882522194</v>
      </c>
      <c r="E95" s="3">
        <v>-7966.3853071744</v>
      </c>
      <c r="F95" s="3">
        <v>3111.08976543019</v>
      </c>
      <c r="G95" s="3">
        <v>0.92013203474791</v>
      </c>
      <c r="H95" s="5">
        <f t="shared" si="1"/>
        <v>12729.11284</v>
      </c>
      <c r="I95" s="3">
        <v>-6297.4395380401</v>
      </c>
      <c r="J95" s="6">
        <f t="shared" si="2"/>
        <v>14398.05861</v>
      </c>
      <c r="K95" s="6">
        <f t="shared" si="3"/>
        <v>1.439805861</v>
      </c>
      <c r="L95" s="6">
        <f t="shared" si="4"/>
        <v>1.131112497</v>
      </c>
      <c r="M95" s="6">
        <f t="shared" si="5"/>
        <v>0.7905015004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AA95" s="3">
        <v>-3.0</v>
      </c>
      <c r="AB95" s="3">
        <v>0.0</v>
      </c>
      <c r="AC95" s="3">
        <v>6985.88593879</v>
      </c>
    </row>
    <row r="96" ht="12.75" customHeight="1">
      <c r="A96" s="3">
        <v>-6.0</v>
      </c>
      <c r="B96" s="3">
        <v>11302.8449971069</v>
      </c>
      <c r="C96" s="3"/>
      <c r="D96" s="3">
        <v>16429.4127071318</v>
      </c>
      <c r="E96" s="3">
        <v>-8371.4794727329</v>
      </c>
      <c r="F96" s="3">
        <v>3307.66004024723</v>
      </c>
      <c r="G96" s="3">
        <v>-0.9997100170562</v>
      </c>
      <c r="H96" s="5">
        <f t="shared" si="1"/>
        <v>11364.59356</v>
      </c>
      <c r="I96" s="3">
        <v>-6667.2343756564</v>
      </c>
      <c r="J96" s="6">
        <f t="shared" si="2"/>
        <v>13068.83866</v>
      </c>
      <c r="K96" s="6">
        <f t="shared" si="3"/>
        <v>1.306883866</v>
      </c>
      <c r="L96" s="6">
        <f t="shared" si="4"/>
        <v>1.149960937</v>
      </c>
      <c r="M96" s="6">
        <f t="shared" si="5"/>
        <v>0.796422472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AA96" s="3">
        <v>-3.0</v>
      </c>
      <c r="AB96" s="3">
        <v>1.0</v>
      </c>
      <c r="AC96" s="3">
        <v>6472.76150218</v>
      </c>
    </row>
    <row r="97" ht="12.75" customHeight="1">
      <c r="A97" s="3">
        <v>-5.0</v>
      </c>
      <c r="B97" s="3">
        <v>10067.2406016096</v>
      </c>
      <c r="C97" s="3"/>
      <c r="D97" s="3">
        <v>15339.1695504184</v>
      </c>
      <c r="E97" s="3">
        <v>-8754.8379302749</v>
      </c>
      <c r="F97" s="3">
        <v>3522.76299015305</v>
      </c>
      <c r="G97" s="3">
        <v>-0.9642888539593</v>
      </c>
      <c r="H97" s="5">
        <f t="shared" si="1"/>
        <v>10106.13032</v>
      </c>
      <c r="I97" s="3">
        <v>-7019.9678307405</v>
      </c>
      <c r="J97" s="6">
        <f t="shared" si="2"/>
        <v>11841.00042</v>
      </c>
      <c r="K97" s="6">
        <f t="shared" si="3"/>
        <v>1.184100042</v>
      </c>
      <c r="L97" s="6">
        <f t="shared" si="4"/>
        <v>1.171665122</v>
      </c>
      <c r="M97" s="6">
        <f t="shared" si="5"/>
        <v>0.8018386961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AA97" s="3">
        <v>-3.0</v>
      </c>
      <c r="AB97" s="3">
        <v>2.0</v>
      </c>
      <c r="AC97" s="3">
        <v>7582.46960161</v>
      </c>
    </row>
    <row r="98" ht="12.75" customHeight="1">
      <c r="A98" s="3">
        <v>-4.0</v>
      </c>
      <c r="B98" s="3">
        <v>8946.86096210069</v>
      </c>
      <c r="C98" s="3"/>
      <c r="D98" s="3">
        <v>14313.6151641263</v>
      </c>
      <c r="E98" s="3">
        <v>-9106.5035782603</v>
      </c>
      <c r="F98" s="3">
        <v>3757.40305380562</v>
      </c>
      <c r="G98" s="3">
        <v>0.83754892484801</v>
      </c>
      <c r="H98" s="5">
        <f t="shared" si="1"/>
        <v>8965.352189</v>
      </c>
      <c r="I98" s="3">
        <v>-7345.7778081987</v>
      </c>
      <c r="J98" s="6">
        <f t="shared" si="2"/>
        <v>10726.07796</v>
      </c>
      <c r="K98" s="6">
        <f t="shared" si="3"/>
        <v>1.072607796</v>
      </c>
      <c r="L98" s="6">
        <f t="shared" si="4"/>
        <v>1.196392259</v>
      </c>
      <c r="M98" s="6">
        <f t="shared" si="5"/>
        <v>0.8066518335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AA98" s="3">
        <v>-3.0</v>
      </c>
      <c r="AB98" s="3">
        <v>3.0</v>
      </c>
      <c r="AC98" s="3">
        <v>9475.95901892</v>
      </c>
    </row>
    <row r="99" ht="12.75" customHeight="1">
      <c r="A99" s="3">
        <v>-3.0</v>
      </c>
      <c r="B99" s="3">
        <v>7946.59932301183</v>
      </c>
      <c r="C99" s="3"/>
      <c r="D99" s="3">
        <v>13348.1300969358</v>
      </c>
      <c r="E99" s="3">
        <v>-9420.945767269</v>
      </c>
      <c r="F99" s="3">
        <v>4008.77022490149</v>
      </c>
      <c r="G99" s="3">
        <v>-0.095662150493</v>
      </c>
      <c r="H99" s="5">
        <f t="shared" si="1"/>
        <v>7935.858892</v>
      </c>
      <c r="I99" s="3">
        <v>-7634.7883484626</v>
      </c>
      <c r="J99" s="6">
        <f t="shared" si="2"/>
        <v>9722.016311</v>
      </c>
      <c r="K99" s="6">
        <f t="shared" si="3"/>
        <v>0.9722016311</v>
      </c>
      <c r="L99" s="6">
        <f t="shared" si="4"/>
        <v>1.225074241</v>
      </c>
      <c r="M99" s="6">
        <f t="shared" si="5"/>
        <v>0.8104057212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AA99" s="3">
        <v>-3.0</v>
      </c>
      <c r="AB99" s="3">
        <v>4.0</v>
      </c>
      <c r="AC99" s="3">
        <v>12312.923201</v>
      </c>
    </row>
    <row r="100" ht="12.75" customHeight="1">
      <c r="A100" s="3">
        <v>-2.0</v>
      </c>
      <c r="B100" s="3">
        <v>7081.46615745697</v>
      </c>
      <c r="C100" s="3"/>
      <c r="D100" s="3">
        <v>12447.4834663036</v>
      </c>
      <c r="E100" s="3">
        <v>-9683.0694830309</v>
      </c>
      <c r="F100" s="3">
        <v>4284.04677462954</v>
      </c>
      <c r="G100" s="3">
        <v>1.93221627234251</v>
      </c>
      <c r="H100" s="5">
        <f t="shared" si="1"/>
        <v>7050.392974</v>
      </c>
      <c r="I100" s="3">
        <v>-7878.0184300933</v>
      </c>
      <c r="J100" s="6">
        <f t="shared" si="2"/>
        <v>8855.444027</v>
      </c>
      <c r="K100" s="6">
        <f t="shared" si="3"/>
        <v>0.8855444027</v>
      </c>
      <c r="L100" s="6">
        <f t="shared" si="4"/>
        <v>1.256021339</v>
      </c>
      <c r="M100" s="6">
        <f t="shared" si="5"/>
        <v>0.8135868945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AA100" s="3">
        <v>-3.0</v>
      </c>
      <c r="AB100" s="3">
        <v>5.0</v>
      </c>
      <c r="AC100" s="3">
        <v>16013.0514989</v>
      </c>
    </row>
    <row r="101" ht="12.75" customHeight="1">
      <c r="A101" s="3">
        <v>-1.0</v>
      </c>
      <c r="B101" s="3">
        <v>6351.19359177138</v>
      </c>
      <c r="C101" s="3"/>
      <c r="D101" s="3">
        <v>11602.9362950549</v>
      </c>
      <c r="E101" s="3">
        <v>-9891.4383818932</v>
      </c>
      <c r="F101" s="3">
        <v>4577.65014882888</v>
      </c>
      <c r="G101" s="3">
        <v>-0.5923045248443</v>
      </c>
      <c r="H101" s="5">
        <f t="shared" si="1"/>
        <v>6288.555757</v>
      </c>
      <c r="I101" s="3">
        <v>-8067.3977619085</v>
      </c>
      <c r="J101" s="6">
        <f t="shared" si="2"/>
        <v>8112.596377</v>
      </c>
      <c r="K101" s="6">
        <f t="shared" si="3"/>
        <v>0.8112596377</v>
      </c>
      <c r="L101" s="6">
        <f t="shared" si="4"/>
        <v>1.290057159</v>
      </c>
      <c r="M101" s="6">
        <f t="shared" si="5"/>
        <v>0.8155939966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AA101" s="3">
        <v>-3.0</v>
      </c>
      <c r="AB101" s="3">
        <v>6.0</v>
      </c>
      <c r="AC101" s="3">
        <v>17315.9692504</v>
      </c>
    </row>
    <row r="102" ht="12.75" customHeight="1">
      <c r="A102" s="3">
        <v>0.0</v>
      </c>
      <c r="B102" s="3">
        <v>5768.36644658421</v>
      </c>
      <c r="C102" s="3"/>
      <c r="D102" s="3">
        <v>10819.1545443998</v>
      </c>
      <c r="E102" s="3">
        <v>-10032.609058448</v>
      </c>
      <c r="F102" s="3">
        <v>4898.22584708873</v>
      </c>
      <c r="G102" s="3">
        <v>-0.7986998289492</v>
      </c>
      <c r="H102" s="5">
        <f t="shared" si="1"/>
        <v>5683.972633</v>
      </c>
      <c r="I102" s="3">
        <v>-8196.412182758</v>
      </c>
      <c r="J102" s="6">
        <f t="shared" si="2"/>
        <v>7520.169509</v>
      </c>
      <c r="K102" s="6">
        <f t="shared" si="3"/>
        <v>0.7520169509</v>
      </c>
      <c r="L102" s="6">
        <f t="shared" si="4"/>
        <v>1.323048156</v>
      </c>
      <c r="M102" s="6">
        <f t="shared" si="5"/>
        <v>0.8169771328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AA102" s="3">
        <v>-3.0</v>
      </c>
      <c r="AB102" s="3">
        <v>7.0</v>
      </c>
      <c r="AC102" s="3">
        <v>22941.2758986</v>
      </c>
    </row>
    <row r="103" ht="12.75" customHeight="1">
      <c r="A103" s="3">
        <v>1.0</v>
      </c>
      <c r="B103" s="3">
        <v>5332.37996332985</v>
      </c>
      <c r="C103" s="3"/>
      <c r="D103" s="3">
        <v>10089.8632647589</v>
      </c>
      <c r="E103" s="3">
        <v>-10104.742507448</v>
      </c>
      <c r="F103" s="3">
        <v>5245.36106874033</v>
      </c>
      <c r="G103" s="3">
        <v>-1.8172937186515</v>
      </c>
      <c r="H103" s="5">
        <f t="shared" si="1"/>
        <v>5228.664532</v>
      </c>
      <c r="I103" s="3">
        <v>-8260.4400660053</v>
      </c>
      <c r="J103" s="6">
        <f t="shared" si="2"/>
        <v>7072.966974</v>
      </c>
      <c r="K103" s="6">
        <f t="shared" si="3"/>
        <v>0.7072966974</v>
      </c>
      <c r="L103" s="6">
        <f t="shared" si="4"/>
        <v>1.352729159</v>
      </c>
      <c r="M103" s="6">
        <f t="shared" si="5"/>
        <v>0.8174815004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AA103" s="3">
        <v>-3.0</v>
      </c>
      <c r="AB103" s="3">
        <v>8.0</v>
      </c>
      <c r="AC103" s="3">
        <v>30130.5275643</v>
      </c>
    </row>
    <row r="104" ht="12.75" customHeight="1">
      <c r="A104" s="3">
        <v>2.0</v>
      </c>
      <c r="B104" s="3">
        <v>5047.37001928431</v>
      </c>
      <c r="C104" s="3"/>
      <c r="D104" s="3">
        <v>9414.87974594173</v>
      </c>
      <c r="E104" s="3">
        <v>-10102.677946982</v>
      </c>
      <c r="F104" s="3">
        <v>5624.45589754641</v>
      </c>
      <c r="G104" s="3">
        <v>-0.7756453472547</v>
      </c>
      <c r="H104" s="5">
        <f t="shared" si="1"/>
        <v>4935.882051</v>
      </c>
      <c r="I104" s="3">
        <v>-8257.2354099451</v>
      </c>
      <c r="J104" s="6">
        <f t="shared" si="2"/>
        <v>6781.324588</v>
      </c>
      <c r="K104" s="6">
        <f t="shared" si="3"/>
        <v>0.6781324588</v>
      </c>
      <c r="L104" s="6">
        <f t="shared" si="4"/>
        <v>1.37388303</v>
      </c>
      <c r="M104" s="6">
        <f t="shared" si="5"/>
        <v>0.8173313505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AA104" s="3">
        <v>-2.0</v>
      </c>
      <c r="AB104" s="3">
        <v>-8.0</v>
      </c>
      <c r="AC104" s="3">
        <v>28797.2964587</v>
      </c>
    </row>
    <row r="105" ht="12.75" customHeight="1">
      <c r="A105" s="3">
        <v>3.0</v>
      </c>
      <c r="B105" s="3">
        <v>4912.44607748569</v>
      </c>
      <c r="C105" s="3"/>
      <c r="D105" s="3">
        <v>8791.53040899783</v>
      </c>
      <c r="E105" s="3">
        <v>-10027.15901012</v>
      </c>
      <c r="F105" s="3">
        <v>6036.9248350625</v>
      </c>
      <c r="G105" s="3">
        <v>1.70086414556965</v>
      </c>
      <c r="H105" s="5">
        <f t="shared" si="1"/>
        <v>4802.997098</v>
      </c>
      <c r="I105" s="3">
        <v>-8186.8314261783</v>
      </c>
      <c r="J105" s="6">
        <f t="shared" si="2"/>
        <v>6643.324682</v>
      </c>
      <c r="K105" s="6">
        <f t="shared" si="3"/>
        <v>0.6643324682</v>
      </c>
      <c r="L105" s="6">
        <f t="shared" si="4"/>
        <v>1.383162335</v>
      </c>
      <c r="M105" s="6">
        <f t="shared" si="5"/>
        <v>0.8164657026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AA105" s="3">
        <v>-2.0</v>
      </c>
      <c r="AB105" s="3">
        <v>-7.0</v>
      </c>
      <c r="AC105" s="3">
        <v>23135.6443665</v>
      </c>
    </row>
    <row r="106" ht="12.75" customHeight="1">
      <c r="A106" s="3">
        <v>4.0</v>
      </c>
      <c r="B106" s="3">
        <v>4920.94962242462</v>
      </c>
      <c r="C106" s="3"/>
      <c r="D106" s="3">
        <v>8211.82290960927</v>
      </c>
      <c r="E106" s="3">
        <v>-9884.37124502</v>
      </c>
      <c r="F106" s="3">
        <v>6482.59223175768</v>
      </c>
      <c r="G106" s="3">
        <v>1.56185780474149</v>
      </c>
      <c r="H106" s="5">
        <f t="shared" si="1"/>
        <v>4811.605754</v>
      </c>
      <c r="I106" s="3">
        <v>-8052.4566433248</v>
      </c>
      <c r="J106" s="6">
        <f t="shared" si="2"/>
        <v>6643.520356</v>
      </c>
      <c r="K106" s="6">
        <f t="shared" si="3"/>
        <v>0.6643520356</v>
      </c>
      <c r="L106" s="6">
        <f t="shared" si="4"/>
        <v>1.380728325</v>
      </c>
      <c r="M106" s="6">
        <f t="shared" si="5"/>
        <v>0.8146655406</v>
      </c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AA106" s="3">
        <v>-2.0</v>
      </c>
      <c r="AB106" s="3">
        <v>-6.0</v>
      </c>
      <c r="AC106" s="3">
        <v>18064.6162149</v>
      </c>
    </row>
    <row r="107" ht="12.75" customHeight="1">
      <c r="A107" s="3">
        <v>5.0</v>
      </c>
      <c r="B107" s="3">
        <v>5067.93902447405</v>
      </c>
      <c r="C107" s="3"/>
      <c r="D107" s="3">
        <v>7673.51387803209</v>
      </c>
      <c r="E107" s="3">
        <v>-9679.9159549146</v>
      </c>
      <c r="F107" s="3">
        <v>6964.12425091287</v>
      </c>
      <c r="G107" s="3">
        <v>-1.1210940746409</v>
      </c>
      <c r="H107" s="5">
        <f t="shared" si="1"/>
        <v>4956.60108</v>
      </c>
      <c r="I107" s="3">
        <v>-7858.7234725026</v>
      </c>
      <c r="J107" s="6">
        <f t="shared" si="2"/>
        <v>6777.793562</v>
      </c>
      <c r="K107" s="6">
        <f t="shared" si="3"/>
        <v>0.6777793562</v>
      </c>
      <c r="L107" s="6">
        <f t="shared" si="4"/>
        <v>1.367427689</v>
      </c>
      <c r="M107" s="6">
        <f t="shared" si="5"/>
        <v>0.8118586472</v>
      </c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AA107" s="3">
        <v>-2.0</v>
      </c>
      <c r="AB107" s="3">
        <v>-5.0</v>
      </c>
      <c r="AC107" s="3">
        <v>13839.7456637</v>
      </c>
    </row>
    <row r="108" ht="12.75" customHeight="1">
      <c r="A108" s="3">
        <v>6.0</v>
      </c>
      <c r="B108" s="3">
        <v>5354.5310903114</v>
      </c>
      <c r="C108" s="3"/>
      <c r="D108" s="3">
        <v>7180.56141438571</v>
      </c>
      <c r="E108" s="3">
        <v>-9414.4238149518</v>
      </c>
      <c r="F108" s="3">
        <v>7491.32748436546</v>
      </c>
      <c r="G108" s="3">
        <v>0.51419806955559</v>
      </c>
      <c r="H108" s="5">
        <f t="shared" si="1"/>
        <v>5257.979282</v>
      </c>
      <c r="I108" s="3">
        <v>-7612.8468921931</v>
      </c>
      <c r="J108" s="6">
        <f t="shared" si="2"/>
        <v>7059.556205</v>
      </c>
      <c r="K108" s="6">
        <f t="shared" si="3"/>
        <v>0.7059556205</v>
      </c>
      <c r="L108" s="6">
        <f t="shared" si="4"/>
        <v>1.342636748</v>
      </c>
      <c r="M108" s="6">
        <f t="shared" si="5"/>
        <v>0.8086365179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AA108" s="3">
        <v>-2.0</v>
      </c>
      <c r="AB108" s="3">
        <v>-4.0</v>
      </c>
      <c r="AC108" s="3">
        <v>10463.9034217</v>
      </c>
    </row>
    <row r="109" ht="12.75" customHeight="1">
      <c r="A109" s="3">
        <v>7.0</v>
      </c>
      <c r="B109" s="3">
        <v>5768.97422632415</v>
      </c>
      <c r="C109" s="3"/>
      <c r="D109" s="3">
        <v>6724.27995238412</v>
      </c>
      <c r="E109" s="3">
        <v>-9101.2268892574</v>
      </c>
      <c r="F109" s="3">
        <v>8062.537614046</v>
      </c>
      <c r="G109" s="3">
        <v>0.99402502422171</v>
      </c>
      <c r="H109" s="5">
        <f t="shared" si="1"/>
        <v>5686.584702</v>
      </c>
      <c r="I109" s="3">
        <v>-7324.2460953752</v>
      </c>
      <c r="J109" s="6">
        <f t="shared" si="2"/>
        <v>7463.565496</v>
      </c>
      <c r="K109" s="6">
        <f t="shared" si="3"/>
        <v>0.7463565496</v>
      </c>
      <c r="L109" s="6">
        <f t="shared" si="4"/>
        <v>1.312486472</v>
      </c>
      <c r="M109" s="6">
        <f t="shared" si="5"/>
        <v>0.804753709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AA109" s="3">
        <v>-2.0</v>
      </c>
      <c r="AB109" s="3">
        <v>-3.0</v>
      </c>
      <c r="AC109" s="3">
        <v>6802.20393967</v>
      </c>
    </row>
    <row r="110" ht="12.75" customHeight="1">
      <c r="A110" s="3">
        <v>8.0</v>
      </c>
      <c r="B110" s="3">
        <v>6303.31035913546</v>
      </c>
      <c r="C110" s="3"/>
      <c r="D110" s="3">
        <v>6304.17885964863</v>
      </c>
      <c r="E110" s="3">
        <v>-8750.0444839065</v>
      </c>
      <c r="F110" s="3">
        <v>8681.71346308397</v>
      </c>
      <c r="G110" s="3">
        <v>1.50463976912573</v>
      </c>
      <c r="H110" s="5">
        <f t="shared" si="1"/>
        <v>6237.352479</v>
      </c>
      <c r="I110" s="3">
        <v>-7002.2865182278</v>
      </c>
      <c r="J110" s="6">
        <f t="shared" si="2"/>
        <v>7985.110444</v>
      </c>
      <c r="K110" s="6">
        <f t="shared" si="3"/>
        <v>0.7985110444</v>
      </c>
      <c r="L110" s="6">
        <f t="shared" si="4"/>
        <v>1.280208305</v>
      </c>
      <c r="M110" s="6">
        <f t="shared" si="5"/>
        <v>0.800257248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AA110" s="3">
        <v>-2.0</v>
      </c>
      <c r="AB110" s="3">
        <v>-2.0</v>
      </c>
      <c r="AC110" s="3">
        <v>6111.28989658</v>
      </c>
    </row>
    <row r="111" ht="12.75" customHeight="1">
      <c r="A111" s="3">
        <v>9.0</v>
      </c>
      <c r="B111" s="3">
        <v>6948.65452503227</v>
      </c>
      <c r="C111" s="3"/>
      <c r="D111" s="3">
        <v>5916.80928678645</v>
      </c>
      <c r="E111" s="3">
        <v>-8371.7600358097</v>
      </c>
      <c r="F111" s="3">
        <v>9350.92225124755</v>
      </c>
      <c r="G111" s="3">
        <v>1.04247986492954</v>
      </c>
      <c r="H111" s="5">
        <f t="shared" si="1"/>
        <v>6897.013982</v>
      </c>
      <c r="I111" s="3">
        <v>-6658.1427318909</v>
      </c>
      <c r="J111" s="6">
        <f t="shared" si="2"/>
        <v>8610.631286</v>
      </c>
      <c r="K111" s="6">
        <f t="shared" si="3"/>
        <v>0.8610631286</v>
      </c>
      <c r="L111" s="6">
        <f t="shared" si="4"/>
        <v>1.248457856</v>
      </c>
      <c r="M111" s="6">
        <f t="shared" si="5"/>
        <v>0.7953097919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AA111" s="3">
        <v>-2.0</v>
      </c>
      <c r="AB111" s="3">
        <v>-1.0</v>
      </c>
      <c r="AC111" s="3">
        <v>5978.74133682</v>
      </c>
    </row>
    <row r="112" ht="12.75" customHeight="1">
      <c r="A112" s="3">
        <v>10.0</v>
      </c>
      <c r="B112" s="3">
        <v>7694.79517075989</v>
      </c>
      <c r="C112" s="3"/>
      <c r="D112" s="3">
        <v>5558.97667246689</v>
      </c>
      <c r="E112" s="3">
        <v>-7977.9793495901</v>
      </c>
      <c r="F112" s="3">
        <v>10071.2692051523</v>
      </c>
      <c r="G112" s="3">
        <v>-1.6498762945745</v>
      </c>
      <c r="H112" s="5">
        <f t="shared" si="1"/>
        <v>7650.616652</v>
      </c>
      <c r="I112" s="3">
        <v>-6302.8980384423</v>
      </c>
      <c r="J112" s="6">
        <f t="shared" si="2"/>
        <v>9325.697963</v>
      </c>
      <c r="K112" s="6">
        <f t="shared" si="3"/>
        <v>0.9325697963</v>
      </c>
      <c r="L112" s="6">
        <f t="shared" si="4"/>
        <v>1.218947228</v>
      </c>
      <c r="M112" s="6">
        <f t="shared" si="5"/>
        <v>0.7900368956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AA112" s="3">
        <v>-2.0</v>
      </c>
      <c r="AB112" s="3">
        <v>0.0</v>
      </c>
      <c r="AC112" s="3">
        <v>6002.40094989</v>
      </c>
    </row>
    <row r="113" ht="12.75" customHeight="1">
      <c r="A113" s="3">
        <v>11.0</v>
      </c>
      <c r="B113" s="3">
        <v>8538.311075965</v>
      </c>
      <c r="C113" s="3"/>
      <c r="D113" s="3">
        <v>5234.64766470753</v>
      </c>
      <c r="E113" s="3">
        <v>-7571.958234285</v>
      </c>
      <c r="F113" s="3">
        <v>10849.3278121855</v>
      </c>
      <c r="G113" s="3">
        <v>-0.5052551063864</v>
      </c>
      <c r="H113" s="5">
        <f t="shared" si="1"/>
        <v>8511.511988</v>
      </c>
      <c r="I113" s="3">
        <v>-5947.3872875946</v>
      </c>
      <c r="J113" s="6">
        <f t="shared" si="2"/>
        <v>10136.08293</v>
      </c>
      <c r="K113" s="6">
        <f t="shared" si="3"/>
        <v>1.013608293</v>
      </c>
      <c r="L113" s="6">
        <f t="shared" si="4"/>
        <v>1.190867492</v>
      </c>
      <c r="M113" s="6">
        <f t="shared" si="5"/>
        <v>0.7854490349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AA113" s="3">
        <v>-2.0</v>
      </c>
      <c r="AB113" s="3">
        <v>1.0</v>
      </c>
      <c r="AC113" s="3">
        <v>5910.55156952</v>
      </c>
    </row>
    <row r="114" ht="12.75" customHeight="1">
      <c r="A114" s="3">
        <v>12.0</v>
      </c>
      <c r="B114" s="3">
        <v>9461.84457779192</v>
      </c>
      <c r="C114" s="3"/>
      <c r="D114" s="3">
        <v>4935.54341247926</v>
      </c>
      <c r="E114" s="3">
        <v>-7167.8599614141</v>
      </c>
      <c r="F114" s="3">
        <v>11677.1451735805</v>
      </c>
      <c r="G114" s="3">
        <v>-1.870056515742</v>
      </c>
      <c r="H114" s="5">
        <f t="shared" si="1"/>
        <v>9442.958568</v>
      </c>
      <c r="I114" s="3">
        <v>-5601.0092235606</v>
      </c>
      <c r="J114" s="6">
        <f t="shared" si="2"/>
        <v>11009.80931</v>
      </c>
      <c r="K114" s="6">
        <f t="shared" si="3"/>
        <v>1.100980931</v>
      </c>
      <c r="L114" s="6">
        <f t="shared" si="4"/>
        <v>1.165927948</v>
      </c>
      <c r="M114" s="6">
        <f t="shared" si="5"/>
        <v>0.7814060617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AA114" s="3">
        <v>-2.0</v>
      </c>
      <c r="AB114" s="3">
        <v>2.0</v>
      </c>
      <c r="AC114" s="3">
        <v>6621.38041686</v>
      </c>
    </row>
    <row r="115" ht="12.75" customHeight="1">
      <c r="A115" s="3">
        <v>13.0</v>
      </c>
      <c r="B115" s="3">
        <v>10458.5950129302</v>
      </c>
      <c r="C115" s="3"/>
      <c r="D115" s="3">
        <v>4664.92418923002</v>
      </c>
      <c r="E115" s="3">
        <v>-6769.0890402133</v>
      </c>
      <c r="F115" s="3">
        <v>12557.2301029845</v>
      </c>
      <c r="G115" s="3">
        <v>-0.9853659936122</v>
      </c>
      <c r="H115" s="5">
        <f t="shared" si="1"/>
        <v>10452.07989</v>
      </c>
      <c r="I115" s="3">
        <v>-5272.7440248039</v>
      </c>
      <c r="J115" s="6">
        <f t="shared" si="2"/>
        <v>11948.4249</v>
      </c>
      <c r="K115" s="6">
        <f t="shared" si="3"/>
        <v>1.19484249</v>
      </c>
      <c r="L115" s="6">
        <f t="shared" si="4"/>
        <v>1.143162417</v>
      </c>
      <c r="M115" s="6">
        <f t="shared" si="5"/>
        <v>0.7789444035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AA115" s="3">
        <v>-2.0</v>
      </c>
      <c r="AB115" s="3">
        <v>3.0</v>
      </c>
      <c r="AC115" s="3">
        <v>8082.99886294</v>
      </c>
    </row>
    <row r="116" ht="12.75" customHeight="1">
      <c r="A116" s="3">
        <v>14.0</v>
      </c>
      <c r="B116" s="3">
        <v>11511.1683046569</v>
      </c>
      <c r="C116" s="3"/>
      <c r="D116" s="3">
        <v>4418.27416272389</v>
      </c>
      <c r="E116" s="3">
        <v>-6382.8390841041</v>
      </c>
      <c r="F116" s="3">
        <v>13479.2241812487</v>
      </c>
      <c r="G116" s="3">
        <v>-0.1601942628688</v>
      </c>
      <c r="H116" s="5">
        <f t="shared" si="1"/>
        <v>11514.49907</v>
      </c>
      <c r="I116" s="3">
        <v>-4968.0687938274</v>
      </c>
      <c r="J116" s="6">
        <f t="shared" si="2"/>
        <v>12929.26936</v>
      </c>
      <c r="K116" s="6">
        <f t="shared" si="3"/>
        <v>1.292926936</v>
      </c>
      <c r="L116" s="6">
        <f t="shared" si="4"/>
        <v>1.122868592</v>
      </c>
      <c r="M116" s="6">
        <f t="shared" si="5"/>
        <v>0.7783478055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AA116" s="3">
        <v>-2.0</v>
      </c>
      <c r="AB116" s="3">
        <v>4.0</v>
      </c>
      <c r="AC116" s="3">
        <v>8532.52588922</v>
      </c>
    </row>
    <row r="117" ht="12.75" customHeight="1">
      <c r="A117" s="3">
        <v>15.0</v>
      </c>
      <c r="B117" s="3">
        <v>12601.8024264564</v>
      </c>
      <c r="C117" s="3"/>
      <c r="D117" s="3">
        <v>4192.70363940789</v>
      </c>
      <c r="E117" s="3">
        <v>-6013.4512796652</v>
      </c>
      <c r="F117" s="3">
        <v>14431.4689372895</v>
      </c>
      <c r="G117" s="3">
        <v>-0.0189235338147</v>
      </c>
      <c r="H117" s="5">
        <f t="shared" si="1"/>
        <v>12610.70237</v>
      </c>
      <c r="I117" s="3">
        <v>-4690.2741469401</v>
      </c>
      <c r="J117" s="6">
        <f t="shared" si="2"/>
        <v>13933.87951</v>
      </c>
      <c r="K117" s="6">
        <f t="shared" si="3"/>
        <v>1.393387951</v>
      </c>
      <c r="L117" s="6">
        <f t="shared" si="4"/>
        <v>1.104924935</v>
      </c>
      <c r="M117" s="6">
        <f t="shared" si="5"/>
        <v>0.7799637727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AA117" s="3">
        <v>-2.0</v>
      </c>
      <c r="AB117" s="3">
        <v>5.0</v>
      </c>
      <c r="AC117" s="3">
        <v>11400.4643426</v>
      </c>
    </row>
    <row r="118" ht="12.75" customHeight="1">
      <c r="A118" s="3">
        <v>16.0</v>
      </c>
      <c r="B118" s="3">
        <v>13712.3783261661</v>
      </c>
      <c r="C118" s="3"/>
      <c r="D118" s="3">
        <v>3986.2202195525</v>
      </c>
      <c r="E118" s="3">
        <v>-5664.1356309287</v>
      </c>
      <c r="F118" s="3">
        <v>15401.5110236508</v>
      </c>
      <c r="G118" s="3">
        <v>-0.5109854180474</v>
      </c>
      <c r="H118" s="5">
        <f t="shared" si="1"/>
        <v>13723.08463</v>
      </c>
      <c r="I118" s="3">
        <v>-4441.1507583965</v>
      </c>
      <c r="J118" s="6">
        <f t="shared" si="2"/>
        <v>14946.0695</v>
      </c>
      <c r="K118" s="6">
        <f t="shared" si="3"/>
        <v>1.49460695</v>
      </c>
      <c r="L118" s="6">
        <f t="shared" si="4"/>
        <v>1.089118803</v>
      </c>
      <c r="M118" s="6">
        <f t="shared" si="5"/>
        <v>0.7840827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AA118" s="3">
        <v>-2.0</v>
      </c>
      <c r="AB118" s="3">
        <v>6.0</v>
      </c>
      <c r="AC118" s="3">
        <v>15429.6055038</v>
      </c>
    </row>
    <row r="119" ht="12.75" customHeight="1">
      <c r="A119" s="3">
        <v>17.0</v>
      </c>
      <c r="B119" s="3">
        <v>14819.0077635181</v>
      </c>
      <c r="C119" s="3"/>
      <c r="D119" s="3">
        <v>3796.45043054847</v>
      </c>
      <c r="E119" s="3">
        <v>-5332.7767139686</v>
      </c>
      <c r="F119" s="3">
        <v>16368.0868599296</v>
      </c>
      <c r="G119" s="3">
        <v>-0.5664001557864</v>
      </c>
      <c r="H119" s="5">
        <f t="shared" si="1"/>
        <v>14831.19418</v>
      </c>
      <c r="I119" s="3">
        <v>-4215.9720248933</v>
      </c>
      <c r="J119" s="6">
        <f t="shared" si="2"/>
        <v>15947.99887</v>
      </c>
      <c r="K119" s="6">
        <f t="shared" si="3"/>
        <v>1.594799887</v>
      </c>
      <c r="L119" s="6">
        <f t="shared" si="4"/>
        <v>1.075301063</v>
      </c>
      <c r="M119" s="6">
        <f t="shared" si="5"/>
        <v>0.7905772642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AA119" s="3">
        <v>-2.0</v>
      </c>
      <c r="AB119" s="3">
        <v>7.0</v>
      </c>
      <c r="AC119" s="3">
        <v>20438.7286215</v>
      </c>
    </row>
    <row r="120" ht="12.75" customHeight="1">
      <c r="A120" s="3">
        <v>18.0</v>
      </c>
      <c r="B120" s="3">
        <v>15901.0061342335</v>
      </c>
      <c r="C120" s="3"/>
      <c r="D120" s="3">
        <v>3622.26143329671</v>
      </c>
      <c r="E120" s="3">
        <v>-5018.3885819944</v>
      </c>
      <c r="F120" s="3">
        <v>17313.6756109163</v>
      </c>
      <c r="G120" s="3">
        <v>1.11244771778811</v>
      </c>
      <c r="H120" s="5">
        <f t="shared" si="1"/>
        <v>15918.66091</v>
      </c>
      <c r="I120" s="3">
        <v>-4011.6843205469</v>
      </c>
      <c r="J120" s="6">
        <f t="shared" si="2"/>
        <v>16925.36517</v>
      </c>
      <c r="K120" s="6">
        <f t="shared" si="3"/>
        <v>1.692536517</v>
      </c>
      <c r="L120" s="6">
        <f t="shared" si="4"/>
        <v>1.063240512</v>
      </c>
      <c r="M120" s="6">
        <f t="shared" si="5"/>
        <v>0.799396909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AA120" s="3">
        <v>-2.0</v>
      </c>
      <c r="AB120" s="3">
        <v>8.0</v>
      </c>
      <c r="AC120" s="3">
        <v>26166.3299892</v>
      </c>
    </row>
    <row r="121" ht="12.75" customHeight="1">
      <c r="A121" s="3">
        <v>19.0</v>
      </c>
      <c r="B121" s="3">
        <v>16931.1562580262</v>
      </c>
      <c r="C121" s="3"/>
      <c r="D121" s="3">
        <v>3456.53101455816</v>
      </c>
      <c r="E121" s="3">
        <v>-4724.3393560842</v>
      </c>
      <c r="F121" s="3">
        <v>18212.9185785831</v>
      </c>
      <c r="G121" s="4">
        <v>-0.004373016027</v>
      </c>
      <c r="H121" s="5">
        <f t="shared" si="1"/>
        <v>16945.10586</v>
      </c>
      <c r="I121" s="3">
        <v>-3823.2627557453</v>
      </c>
      <c r="J121" s="6">
        <f t="shared" si="2"/>
        <v>17846.18246</v>
      </c>
      <c r="K121" s="6">
        <f t="shared" si="3"/>
        <v>1.784618246</v>
      </c>
      <c r="L121" s="6">
        <f t="shared" si="4"/>
        <v>1.053176215</v>
      </c>
      <c r="M121" s="6">
        <f t="shared" si="5"/>
        <v>0.8092692899</v>
      </c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AA121" s="3">
        <v>-1.0</v>
      </c>
      <c r="AB121" s="3">
        <v>-8.0</v>
      </c>
      <c r="AC121" s="3">
        <v>25095.6180011</v>
      </c>
    </row>
    <row r="122" ht="12.75" customHeight="1">
      <c r="A122" s="3">
        <v>20.0</v>
      </c>
      <c r="B122" s="3">
        <v>17890.028795135</v>
      </c>
      <c r="C122" s="3"/>
      <c r="D122" s="3">
        <v>3300.5979130938</v>
      </c>
      <c r="E122" s="3">
        <v>-4444.7079297545</v>
      </c>
      <c r="F122" s="3">
        <v>19047.1195206424</v>
      </c>
      <c r="G122" s="3">
        <v>-0.0510301117407</v>
      </c>
      <c r="H122" s="5">
        <f t="shared" si="1"/>
        <v>17902.95847</v>
      </c>
      <c r="I122" s="3">
        <v>-3644.5237580124</v>
      </c>
      <c r="J122" s="6">
        <f t="shared" si="2"/>
        <v>18703.14265</v>
      </c>
      <c r="K122" s="6">
        <f t="shared" si="3"/>
        <v>1.870314265</v>
      </c>
      <c r="L122" s="6">
        <f t="shared" si="4"/>
        <v>1.044695639</v>
      </c>
      <c r="M122" s="6">
        <f t="shared" si="5"/>
        <v>0.8199692343</v>
      </c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AA122" s="3">
        <v>-1.0</v>
      </c>
      <c r="AB122" s="3">
        <v>-7.0</v>
      </c>
      <c r="AC122" s="3">
        <v>20609.876134</v>
      </c>
    </row>
    <row r="123" ht="12.75" customHeight="1">
      <c r="A123" s="3">
        <v>21.0</v>
      </c>
      <c r="B123" s="3">
        <v>18758.557391893</v>
      </c>
      <c r="C123" s="3"/>
      <c r="D123" s="3">
        <v>3151.87405806854</v>
      </c>
      <c r="E123" s="3">
        <v>-4179.7094212778</v>
      </c>
      <c r="F123" s="3">
        <v>19798.1917882076</v>
      </c>
      <c r="G123" s="3">
        <v>-0.0650777361019</v>
      </c>
      <c r="H123" s="5">
        <f t="shared" si="1"/>
        <v>18770.29135</v>
      </c>
      <c r="I123" s="3">
        <v>-3472.3941598604</v>
      </c>
      <c r="J123" s="6">
        <f t="shared" si="2"/>
        <v>19477.60661</v>
      </c>
      <c r="K123" s="6">
        <f t="shared" si="3"/>
        <v>1.947760661</v>
      </c>
      <c r="L123" s="6">
        <f t="shared" si="4"/>
        <v>1.0376827</v>
      </c>
      <c r="M123" s="6">
        <f t="shared" si="5"/>
        <v>0.8307740586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AA123" s="3">
        <v>-1.0</v>
      </c>
      <c r="AB123" s="3">
        <v>-6.0</v>
      </c>
      <c r="AC123" s="3">
        <v>16112.0714974</v>
      </c>
    </row>
    <row r="124" ht="12.75" customHeight="1">
      <c r="A124" s="3">
        <v>22.0</v>
      </c>
      <c r="B124" s="3">
        <v>19520.6746138126</v>
      </c>
      <c r="C124" s="3"/>
      <c r="D124" s="3">
        <v>3009.0846395262</v>
      </c>
      <c r="E124" s="3">
        <v>-3928.4769669487</v>
      </c>
      <c r="F124" s="3">
        <v>20450.4307310322</v>
      </c>
      <c r="G124" s="3">
        <v>-0.1568050255076</v>
      </c>
      <c r="H124" s="5">
        <f t="shared" si="1"/>
        <v>19530.8816</v>
      </c>
      <c r="I124" s="3">
        <v>-3304.3658404751</v>
      </c>
      <c r="J124" s="6">
        <f t="shared" si="2"/>
        <v>20154.99273</v>
      </c>
      <c r="K124" s="6">
        <f t="shared" si="3"/>
        <v>2.015499273</v>
      </c>
      <c r="L124" s="6">
        <f t="shared" si="4"/>
        <v>1.031955092</v>
      </c>
      <c r="M124" s="6">
        <f t="shared" si="5"/>
        <v>0.8411315297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AA124" s="3">
        <v>-1.0</v>
      </c>
      <c r="AB124" s="3">
        <v>-5.0</v>
      </c>
      <c r="AC124" s="3">
        <v>12177.9435104</v>
      </c>
    </row>
    <row r="125" ht="12.75" customHeight="1">
      <c r="A125" s="3">
        <v>23.0</v>
      </c>
      <c r="B125" s="3">
        <v>20162.7464534389</v>
      </c>
      <c r="C125" s="3"/>
      <c r="D125" s="3">
        <v>2872.00946113329</v>
      </c>
      <c r="E125" s="3">
        <v>-3689.3518697376</v>
      </c>
      <c r="F125" s="3">
        <v>20989.8442809552</v>
      </c>
      <c r="G125" s="3">
        <v>0.14320967949513</v>
      </c>
      <c r="H125" s="5">
        <f t="shared" si="1"/>
        <v>20172.64508</v>
      </c>
      <c r="I125" s="3">
        <v>-3137.9796667162</v>
      </c>
      <c r="J125" s="6">
        <f t="shared" si="2"/>
        <v>20724.01729</v>
      </c>
      <c r="K125" s="6">
        <f t="shared" si="3"/>
        <v>2.072401729</v>
      </c>
      <c r="L125" s="6">
        <f t="shared" si="4"/>
        <v>1.027332668</v>
      </c>
      <c r="M125" s="6">
        <f t="shared" si="5"/>
        <v>0.8505503887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AA125" s="3">
        <v>-1.0</v>
      </c>
      <c r="AB125" s="3">
        <v>-4.0</v>
      </c>
      <c r="AC125" s="3">
        <v>9134.29478516</v>
      </c>
    </row>
    <row r="126" ht="12.75" customHeight="1">
      <c r="A126" s="3">
        <v>24.0</v>
      </c>
      <c r="B126" s="3">
        <v>20676.3704748168</v>
      </c>
      <c r="C126" s="3"/>
      <c r="D126" s="3">
        <v>2739.94717008394</v>
      </c>
      <c r="E126" s="3">
        <v>-3463.2848919616</v>
      </c>
      <c r="F126" s="3">
        <v>21408.549455491</v>
      </c>
      <c r="G126" s="3">
        <v>0.24974623221389</v>
      </c>
      <c r="H126" s="5">
        <f t="shared" si="1"/>
        <v>20685.46148</v>
      </c>
      <c r="I126" s="3">
        <v>-2974.6742113091</v>
      </c>
      <c r="J126" s="6">
        <f t="shared" si="2"/>
        <v>21174.07216</v>
      </c>
      <c r="K126" s="6">
        <f t="shared" si="3"/>
        <v>2.117407216</v>
      </c>
      <c r="L126" s="6">
        <f t="shared" si="4"/>
        <v>1.023620971</v>
      </c>
      <c r="M126" s="6">
        <f t="shared" si="5"/>
        <v>0.8589169832</v>
      </c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AA126" s="3">
        <v>-1.0</v>
      </c>
      <c r="AB126" s="3">
        <v>-3.0</v>
      </c>
      <c r="AC126" s="3">
        <v>7158.34970331</v>
      </c>
    </row>
    <row r="127" ht="12.75" customHeight="1">
      <c r="A127" s="3">
        <v>25.0</v>
      </c>
      <c r="B127" s="3">
        <v>21054.8211272057</v>
      </c>
      <c r="C127" s="3"/>
      <c r="D127" s="3">
        <v>2613.13981283855</v>
      </c>
      <c r="E127" s="3">
        <v>-3250.1014230541</v>
      </c>
      <c r="F127" s="3">
        <v>21699.460203273</v>
      </c>
      <c r="G127" s="3">
        <v>0.16744822019001</v>
      </c>
      <c r="H127" s="5">
        <f t="shared" si="1"/>
        <v>21062.66604</v>
      </c>
      <c r="I127" s="3">
        <v>-2814.8385756904</v>
      </c>
      <c r="J127" s="6">
        <f t="shared" si="2"/>
        <v>21497.92889</v>
      </c>
      <c r="K127" s="6">
        <f t="shared" si="3"/>
        <v>2.149792889</v>
      </c>
      <c r="L127" s="6">
        <f t="shared" si="4"/>
        <v>1.020665135</v>
      </c>
      <c r="M127" s="6">
        <f t="shared" si="5"/>
        <v>0.8660771494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AA127" s="3">
        <v>-1.0</v>
      </c>
      <c r="AB127" s="3">
        <v>-2.0</v>
      </c>
      <c r="AC127" s="3">
        <v>6141.07904408</v>
      </c>
    </row>
    <row r="128" ht="12.75" customHeight="1">
      <c r="A128" s="3">
        <v>26.0</v>
      </c>
      <c r="B128" s="3">
        <v>21296.0751575885</v>
      </c>
      <c r="C128" s="3"/>
      <c r="D128" s="3">
        <v>2491.59933301323</v>
      </c>
      <c r="E128" s="3">
        <v>-3049.6701496367</v>
      </c>
      <c r="F128" s="3">
        <v>21860.8789350159</v>
      </c>
      <c r="G128" s="3">
        <v>0.14483009814938</v>
      </c>
      <c r="H128" s="5">
        <f t="shared" si="1"/>
        <v>21302.95295</v>
      </c>
      <c r="I128" s="3">
        <v>-2660.1342782029</v>
      </c>
      <c r="J128" s="6">
        <f t="shared" si="2"/>
        <v>21692.48882</v>
      </c>
      <c r="K128" s="6">
        <f t="shared" si="3"/>
        <v>2.169248882</v>
      </c>
      <c r="L128" s="6">
        <f t="shared" si="4"/>
        <v>1.018285534</v>
      </c>
      <c r="M128" s="6">
        <f t="shared" si="5"/>
        <v>0.8722695071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AA128" s="3">
        <v>-1.0</v>
      </c>
      <c r="AB128" s="3">
        <v>-1.0</v>
      </c>
      <c r="AC128" s="3">
        <v>5712.30079215</v>
      </c>
    </row>
    <row r="129" ht="12.75" customHeight="1">
      <c r="A129" s="3">
        <v>27.0</v>
      </c>
      <c r="B129" s="3">
        <v>21398.8185921021</v>
      </c>
      <c r="C129" s="3"/>
      <c r="D129" s="3">
        <v>2375.70894983198</v>
      </c>
      <c r="E129" s="3">
        <v>-2861.692783997</v>
      </c>
      <c r="F129" s="3">
        <v>21890.742078698</v>
      </c>
      <c r="G129" s="3">
        <v>0.13269781071725</v>
      </c>
      <c r="H129" s="5">
        <f t="shared" si="1"/>
        <v>21404.89094</v>
      </c>
      <c r="I129" s="3">
        <v>-2510.8209129034</v>
      </c>
      <c r="J129" s="6">
        <f t="shared" si="2"/>
        <v>21755.76281</v>
      </c>
      <c r="K129" s="6">
        <f t="shared" si="3"/>
        <v>2.175576281</v>
      </c>
      <c r="L129" s="6">
        <f t="shared" si="4"/>
        <v>1.016392135</v>
      </c>
      <c r="M129" s="6">
        <f t="shared" si="5"/>
        <v>0.8773900982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AA129" s="3">
        <v>-1.0</v>
      </c>
      <c r="AB129" s="3">
        <v>0.0</v>
      </c>
      <c r="AC129" s="3">
        <v>5753.71222075</v>
      </c>
    </row>
    <row r="130" ht="12.75" customHeight="1">
      <c r="A130" s="3">
        <v>28.0</v>
      </c>
      <c r="B130" s="3">
        <v>21366.1886631972</v>
      </c>
      <c r="C130" s="3"/>
      <c r="D130" s="3">
        <v>2265.40372853866</v>
      </c>
      <c r="E130" s="3">
        <v>-2686.0876817023</v>
      </c>
      <c r="F130" s="3">
        <v>21792.1367289347</v>
      </c>
      <c r="G130" s="3">
        <v>0.12656122237142</v>
      </c>
      <c r="H130" s="5">
        <f t="shared" si="1"/>
        <v>21371.57934</v>
      </c>
      <c r="I130" s="3">
        <v>-2368.176148057</v>
      </c>
      <c r="J130" s="6">
        <f t="shared" si="2"/>
        <v>21689.49087</v>
      </c>
      <c r="K130" s="6">
        <f t="shared" si="3"/>
        <v>2.168949087</v>
      </c>
      <c r="L130" s="6">
        <f t="shared" si="4"/>
        <v>1.014875435</v>
      </c>
      <c r="M130" s="6">
        <f t="shared" si="5"/>
        <v>0.8816451392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AA130" s="3">
        <v>-1.0</v>
      </c>
      <c r="AB130" s="3">
        <v>1.0</v>
      </c>
      <c r="AC130" s="3">
        <v>5780.76755963</v>
      </c>
    </row>
    <row r="131" ht="12.75" customHeight="1">
      <c r="A131" s="3">
        <v>29.0</v>
      </c>
      <c r="B131" s="3">
        <v>21203.1092686048</v>
      </c>
      <c r="C131" s="3"/>
      <c r="D131" s="3">
        <v>2161.08999367134</v>
      </c>
      <c r="E131" s="3">
        <v>-2522.6634353231</v>
      </c>
      <c r="F131" s="3">
        <v>21569.3675361441</v>
      </c>
      <c r="G131" s="3">
        <v>0.11644426617775</v>
      </c>
      <c r="H131" s="5">
        <f t="shared" si="1"/>
        <v>21207.91054</v>
      </c>
      <c r="I131" s="3">
        <v>-2232.9012813956</v>
      </c>
      <c r="J131" s="6">
        <f t="shared" si="2"/>
        <v>21497.67269</v>
      </c>
      <c r="K131" s="6">
        <f t="shared" si="3"/>
        <v>2.149767269</v>
      </c>
      <c r="L131" s="6">
        <f t="shared" si="4"/>
        <v>1.013662928</v>
      </c>
      <c r="M131" s="6">
        <f t="shared" si="5"/>
        <v>0.8851364198</v>
      </c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AA131" s="3">
        <v>-1.0</v>
      </c>
      <c r="AB131" s="3">
        <v>2.0</v>
      </c>
      <c r="AC131" s="3">
        <v>5750.68070159</v>
      </c>
    </row>
    <row r="132" ht="12.75" customHeight="1">
      <c r="A132" s="3">
        <v>30.0</v>
      </c>
      <c r="B132" s="3">
        <v>20918.7255746756</v>
      </c>
      <c r="C132" s="3"/>
      <c r="D132" s="3">
        <v>2062.05785774772</v>
      </c>
      <c r="E132" s="3">
        <v>-2370.6158508941</v>
      </c>
      <c r="F132" s="3">
        <v>21231.4931440958</v>
      </c>
      <c r="G132" s="3">
        <v>0.12517645732744</v>
      </c>
      <c r="H132" s="5">
        <f t="shared" si="1"/>
        <v>20923.06033</v>
      </c>
      <c r="I132" s="3">
        <v>-2104.9440383243</v>
      </c>
      <c r="J132" s="6">
        <f t="shared" si="2"/>
        <v>21188.73214</v>
      </c>
      <c r="K132" s="6">
        <f t="shared" si="3"/>
        <v>2.118873214</v>
      </c>
      <c r="L132" s="6">
        <f t="shared" si="4"/>
        <v>1.01269756</v>
      </c>
      <c r="M132" s="6">
        <f t="shared" si="5"/>
        <v>0.8879313101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AA132" s="3">
        <v>-1.0</v>
      </c>
      <c r="AB132" s="3">
        <v>3.0</v>
      </c>
      <c r="AC132" s="3">
        <v>6353.4640901</v>
      </c>
    </row>
    <row r="133" ht="12.75" customHeight="1">
      <c r="A133" s="3">
        <v>31.0</v>
      </c>
      <c r="B133" s="3">
        <v>20522.366072166</v>
      </c>
      <c r="C133" s="3"/>
      <c r="D133" s="3">
        <v>1968.96819564772</v>
      </c>
      <c r="E133" s="3">
        <v>-2229.9229630764</v>
      </c>
      <c r="F133" s="3">
        <v>20787.0676708905</v>
      </c>
      <c r="G133" s="3">
        <v>0.09557385562076</v>
      </c>
      <c r="H133" s="5">
        <f t="shared" si="1"/>
        <v>20526.20848</v>
      </c>
      <c r="I133" s="3">
        <v>-1985.1055258365</v>
      </c>
      <c r="J133" s="6">
        <f t="shared" si="2"/>
        <v>20771.02591</v>
      </c>
      <c r="K133" s="6">
        <f t="shared" si="3"/>
        <v>2.077102591</v>
      </c>
      <c r="L133" s="6">
        <f t="shared" si="4"/>
        <v>1.011927066</v>
      </c>
      <c r="M133" s="6">
        <f t="shared" si="5"/>
        <v>0.8902126032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AA133" s="3">
        <v>-1.0</v>
      </c>
      <c r="AB133" s="3">
        <v>4.0</v>
      </c>
      <c r="AC133" s="3">
        <v>8003.15081375</v>
      </c>
    </row>
    <row r="134" ht="12.75" customHeight="1">
      <c r="A134" s="3">
        <v>32.0</v>
      </c>
      <c r="B134" s="3">
        <v>20027.8428339836</v>
      </c>
      <c r="C134" s="3"/>
      <c r="D134" s="3">
        <v>1881.11571144885</v>
      </c>
      <c r="E134" s="3">
        <v>-2099.5853588335</v>
      </c>
      <c r="F134" s="3">
        <v>20249.701512197</v>
      </c>
      <c r="G134" s="3">
        <v>0.093840793973</v>
      </c>
      <c r="H134" s="5">
        <f t="shared" si="1"/>
        <v>20031.32571</v>
      </c>
      <c r="I134" s="3">
        <v>-1872.8326075804</v>
      </c>
      <c r="J134" s="6">
        <f t="shared" si="2"/>
        <v>20258.07846</v>
      </c>
      <c r="K134" s="6">
        <f t="shared" si="3"/>
        <v>2.025807846</v>
      </c>
      <c r="L134" s="6">
        <f t="shared" si="4"/>
        <v>1.011319907</v>
      </c>
      <c r="M134" s="6">
        <f t="shared" si="5"/>
        <v>0.8920011752</v>
      </c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AA134" s="3">
        <v>-1.0</v>
      </c>
      <c r="AB134" s="3">
        <v>5.0</v>
      </c>
      <c r="AC134" s="3">
        <v>10850.3212396</v>
      </c>
    </row>
    <row r="135" ht="12.75" customHeight="1">
      <c r="A135" s="3">
        <v>33.0</v>
      </c>
      <c r="B135" s="3">
        <v>19448.9530225521</v>
      </c>
      <c r="C135" s="3"/>
      <c r="D135" s="3">
        <v>1798.44221207556</v>
      </c>
      <c r="E135" s="3">
        <v>-1979.1259991342</v>
      </c>
      <c r="F135" s="3">
        <v>19632.6983891782</v>
      </c>
      <c r="G135" s="3">
        <v>0.08200707646596</v>
      </c>
      <c r="H135" s="5">
        <f t="shared" si="1"/>
        <v>19452.09661</v>
      </c>
      <c r="I135" s="3">
        <v>-1768.1516981755</v>
      </c>
      <c r="J135" s="6">
        <f t="shared" si="2"/>
        <v>19663.07091</v>
      </c>
      <c r="K135" s="6">
        <f t="shared" si="3"/>
        <v>1.966307091</v>
      </c>
      <c r="L135" s="6">
        <f t="shared" si="4"/>
        <v>1.010845839</v>
      </c>
      <c r="M135" s="6">
        <f t="shared" si="5"/>
        <v>0.8934002681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AA135" s="3">
        <v>-1.0</v>
      </c>
      <c r="AB135" s="3">
        <v>6.0</v>
      </c>
      <c r="AC135" s="3">
        <v>14669.2769481</v>
      </c>
    </row>
    <row r="136" ht="12.75" customHeight="1">
      <c r="A136" s="3">
        <v>34.0</v>
      </c>
      <c r="B136" s="3">
        <v>18799.8799030872</v>
      </c>
      <c r="C136" s="3"/>
      <c r="D136" s="3">
        <v>1721.1599239102</v>
      </c>
      <c r="E136" s="3">
        <v>-1868.1478198279</v>
      </c>
      <c r="F136" s="3">
        <v>18949.6660372179</v>
      </c>
      <c r="G136" s="3">
        <v>0.07675761796981</v>
      </c>
      <c r="H136" s="5">
        <f t="shared" si="1"/>
        <v>18802.7549</v>
      </c>
      <c r="I136" s="3">
        <v>-1671.2284082816</v>
      </c>
      <c r="J136" s="6">
        <f t="shared" si="2"/>
        <v>18999.67431</v>
      </c>
      <c r="K136" s="6">
        <f t="shared" si="3"/>
        <v>1.899967431</v>
      </c>
      <c r="L136" s="6">
        <f t="shared" si="4"/>
        <v>1.010472902</v>
      </c>
      <c r="M136" s="6">
        <f t="shared" si="5"/>
        <v>0.8945910974</v>
      </c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AA136" s="3">
        <v>-1.0</v>
      </c>
      <c r="AB136" s="3">
        <v>7.0</v>
      </c>
      <c r="AC136" s="3">
        <v>19225.759411</v>
      </c>
    </row>
    <row r="137" ht="12.75" customHeight="1">
      <c r="A137" s="3">
        <v>35.0</v>
      </c>
      <c r="B137" s="3">
        <v>18098.0906076167</v>
      </c>
      <c r="C137" s="3"/>
      <c r="D137" s="3">
        <v>1648.27773281191</v>
      </c>
      <c r="E137" s="3">
        <v>-1765.547463211</v>
      </c>
      <c r="F137" s="3">
        <v>18217.9261533526</v>
      </c>
      <c r="G137" s="3">
        <v>0.07236941763688</v>
      </c>
      <c r="H137" s="5">
        <f t="shared" si="1"/>
        <v>18100.72879</v>
      </c>
      <c r="I137" s="3">
        <v>-1580.9507729157</v>
      </c>
      <c r="J137" s="6">
        <f t="shared" si="2"/>
        <v>18285.32548</v>
      </c>
      <c r="K137" s="6">
        <f t="shared" si="3"/>
        <v>1.828532548</v>
      </c>
      <c r="L137" s="6">
        <f t="shared" si="4"/>
        <v>1.010198302</v>
      </c>
      <c r="M137" s="6">
        <f t="shared" si="5"/>
        <v>0.8954450706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AA137" s="3">
        <v>-1.0</v>
      </c>
      <c r="AB137" s="3">
        <v>8.0</v>
      </c>
      <c r="AC137" s="3">
        <v>23863.9133524</v>
      </c>
    </row>
    <row r="138" ht="12.75" customHeight="1">
      <c r="A138" s="3">
        <v>36.0</v>
      </c>
      <c r="B138" s="3">
        <v>17358.44108043</v>
      </c>
      <c r="C138" s="3"/>
      <c r="D138" s="3">
        <v>1579.65279643072</v>
      </c>
      <c r="E138" s="3">
        <v>-1670.7756568226</v>
      </c>
      <c r="F138" s="3">
        <v>17451.9107480206</v>
      </c>
      <c r="G138" s="3">
        <v>0.06033204704763</v>
      </c>
      <c r="H138" s="5">
        <f t="shared" si="1"/>
        <v>17360.84822</v>
      </c>
      <c r="I138" s="3">
        <v>-1497.0825542439</v>
      </c>
      <c r="J138" s="6">
        <f t="shared" si="2"/>
        <v>17534.54132</v>
      </c>
      <c r="K138" s="6">
        <f t="shared" si="3"/>
        <v>1.753454132</v>
      </c>
      <c r="L138" s="6">
        <f t="shared" si="4"/>
        <v>1.010004874</v>
      </c>
      <c r="M138" s="6">
        <f t="shared" si="5"/>
        <v>0.8960404397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AA138" s="3">
        <v>0.0</v>
      </c>
      <c r="AB138" s="3">
        <v>-8.0</v>
      </c>
      <c r="AC138" s="3">
        <v>23523.5613146</v>
      </c>
    </row>
    <row r="139" ht="12.75" customHeight="1">
      <c r="A139" s="3">
        <v>37.0</v>
      </c>
      <c r="B139" s="3">
        <v>16594.4225720158</v>
      </c>
      <c r="C139" s="3"/>
      <c r="D139" s="3">
        <v>1515.35974722101</v>
      </c>
      <c r="E139" s="3">
        <v>-1583.4008162951</v>
      </c>
      <c r="F139" s="3">
        <v>16664.6376031316</v>
      </c>
      <c r="G139" s="3">
        <v>0.05645392847138</v>
      </c>
      <c r="H139" s="5">
        <f t="shared" si="1"/>
        <v>16596.65299</v>
      </c>
      <c r="I139" s="3">
        <v>-1419.5703647364</v>
      </c>
      <c r="J139" s="6">
        <f t="shared" si="2"/>
        <v>16760.48344</v>
      </c>
      <c r="K139" s="6">
        <f t="shared" si="3"/>
        <v>1.676048344</v>
      </c>
      <c r="L139" s="6">
        <f t="shared" si="4"/>
        <v>1.009871295</v>
      </c>
      <c r="M139" s="6">
        <f t="shared" si="5"/>
        <v>0.8965325457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AA139" s="3">
        <v>0.0</v>
      </c>
      <c r="AB139" s="3">
        <v>-7.0</v>
      </c>
      <c r="AC139" s="3">
        <v>19272.2025422</v>
      </c>
    </row>
    <row r="140" ht="12.75" customHeight="1">
      <c r="A140" s="3">
        <v>38.0</v>
      </c>
      <c r="B140" s="3">
        <v>15819.8605679533</v>
      </c>
      <c r="C140" s="3"/>
      <c r="D140" s="3">
        <v>1454.79798750663</v>
      </c>
      <c r="E140" s="3">
        <v>-1502.6208768546</v>
      </c>
      <c r="F140" s="3">
        <v>15869.7090261073</v>
      </c>
      <c r="G140" s="3">
        <v>0.0532225405033</v>
      </c>
      <c r="H140" s="5">
        <f t="shared" si="1"/>
        <v>15821.93936</v>
      </c>
      <c r="I140" s="3">
        <v>-1347.6597568636</v>
      </c>
      <c r="J140" s="6">
        <f t="shared" si="2"/>
        <v>15976.90048</v>
      </c>
      <c r="K140" s="6">
        <f t="shared" si="3"/>
        <v>1.597690048</v>
      </c>
      <c r="L140" s="6">
        <f t="shared" si="4"/>
        <v>1.009794066</v>
      </c>
      <c r="M140" s="6">
        <f t="shared" si="5"/>
        <v>0.8968727758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AA140" s="3">
        <v>0.0</v>
      </c>
      <c r="AB140" s="3">
        <v>-6.0</v>
      </c>
      <c r="AC140" s="3">
        <v>14970.207733</v>
      </c>
    </row>
    <row r="141" ht="12.75" customHeight="1">
      <c r="A141" s="3">
        <v>39.0</v>
      </c>
      <c r="B141" s="3">
        <v>15045.5965761711</v>
      </c>
      <c r="C141" s="3"/>
      <c r="D141" s="3">
        <v>1397.7220627964</v>
      </c>
      <c r="E141" s="3">
        <v>-1427.8742480207</v>
      </c>
      <c r="F141" s="3">
        <v>15077.6433579336</v>
      </c>
      <c r="G141" s="3">
        <v>0.04845990556533</v>
      </c>
      <c r="H141" s="5">
        <f t="shared" si="1"/>
        <v>15047.53963</v>
      </c>
      <c r="I141" s="3">
        <v>-1280.9896070694</v>
      </c>
      <c r="J141" s="6">
        <f t="shared" si="2"/>
        <v>15194.42427</v>
      </c>
      <c r="K141" s="6">
        <f t="shared" si="3"/>
        <v>1.519442427</v>
      </c>
      <c r="L141" s="6">
        <f t="shared" si="4"/>
        <v>1.009761373</v>
      </c>
      <c r="M141" s="6">
        <f t="shared" si="5"/>
        <v>0.8971305483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AA141" s="3">
        <v>0.0</v>
      </c>
      <c r="AB141" s="3">
        <v>-5.0</v>
      </c>
      <c r="AC141" s="3">
        <v>11150.1000586</v>
      </c>
    </row>
    <row r="142" ht="12.75" customHeight="1">
      <c r="A142" s="3">
        <v>40.0</v>
      </c>
      <c r="B142" s="3">
        <v>14281.4080439111</v>
      </c>
      <c r="C142" s="3"/>
      <c r="D142" s="3">
        <v>1343.61156328169</v>
      </c>
      <c r="E142" s="3">
        <v>-1358.4314610098</v>
      </c>
      <c r="F142" s="3">
        <v>14298.0073966699</v>
      </c>
      <c r="G142" s="3">
        <v>0.04354966879863</v>
      </c>
      <c r="H142" s="5">
        <f t="shared" si="1"/>
        <v>14283.23105</v>
      </c>
      <c r="I142" s="3">
        <v>-1218.8917908259</v>
      </c>
      <c r="J142" s="6">
        <f t="shared" si="2"/>
        <v>14422.77072</v>
      </c>
      <c r="K142" s="6">
        <f t="shared" si="3"/>
        <v>1.442277072</v>
      </c>
      <c r="L142" s="6">
        <f t="shared" si="4"/>
        <v>1.009769475</v>
      </c>
      <c r="M142" s="6">
        <f t="shared" si="5"/>
        <v>0.8972788292</v>
      </c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AA142" s="3">
        <v>0.0</v>
      </c>
      <c r="AB142" s="3">
        <v>-4.0</v>
      </c>
      <c r="AC142" s="3">
        <v>8291.57538353</v>
      </c>
    </row>
    <row r="143" ht="12.75" customHeight="1">
      <c r="A143" s="3">
        <v>41.0</v>
      </c>
      <c r="B143" s="3">
        <v>13533.458096955</v>
      </c>
      <c r="C143" s="3"/>
      <c r="D143" s="3">
        <v>1292.26897621902</v>
      </c>
      <c r="E143" s="3">
        <v>-1293.7877817255</v>
      </c>
      <c r="F143" s="3">
        <v>13536.6689093859</v>
      </c>
      <c r="G143" s="3">
        <v>0.04381847069138</v>
      </c>
      <c r="H143" s="5">
        <f t="shared" si="1"/>
        <v>13535.19392</v>
      </c>
      <c r="I143" s="3">
        <v>-1161.0853908677</v>
      </c>
      <c r="J143" s="6">
        <f t="shared" si="2"/>
        <v>13667.89631</v>
      </c>
      <c r="K143" s="6">
        <f t="shared" si="3"/>
        <v>1.366789631</v>
      </c>
      <c r="L143" s="6">
        <f t="shared" si="4"/>
        <v>1.009804247</v>
      </c>
      <c r="M143" s="6">
        <f t="shared" si="5"/>
        <v>0.897431099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AA143" s="3">
        <v>0.0</v>
      </c>
      <c r="AB143" s="3">
        <v>-3.0</v>
      </c>
      <c r="AC143" s="3">
        <v>6558.81154952</v>
      </c>
    </row>
    <row r="144" ht="12.75" customHeight="1">
      <c r="A144" s="3">
        <v>42.0</v>
      </c>
      <c r="B144" s="3">
        <v>12807.5945337355</v>
      </c>
      <c r="C144" s="3"/>
      <c r="D144" s="3">
        <v>1242.90843618798</v>
      </c>
      <c r="E144" s="3">
        <v>-1233.0900312422</v>
      </c>
      <c r="F144" s="3">
        <v>12799.3720679583</v>
      </c>
      <c r="G144" s="4">
        <v>0.03486750052348</v>
      </c>
      <c r="H144" s="5">
        <f t="shared" si="1"/>
        <v>12809.22534</v>
      </c>
      <c r="I144" s="3">
        <v>-1106.665177716</v>
      </c>
      <c r="J144" s="6">
        <f t="shared" si="2"/>
        <v>12935.65019</v>
      </c>
      <c r="K144" s="6">
        <f t="shared" si="3"/>
        <v>1.293565019</v>
      </c>
      <c r="L144" s="6">
        <f t="shared" si="4"/>
        <v>1.009869828</v>
      </c>
      <c r="M144" s="6">
        <f t="shared" si="5"/>
        <v>0.8974731363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AA144" s="3">
        <v>0.0</v>
      </c>
      <c r="AB144" s="3">
        <v>-2.0</v>
      </c>
      <c r="AC144" s="3">
        <v>5856.52506859</v>
      </c>
    </row>
    <row r="145" ht="12.75" customHeight="1">
      <c r="A145" s="3">
        <v>43.0</v>
      </c>
      <c r="B145" s="3">
        <v>12106.0656724301</v>
      </c>
      <c r="C145" s="3"/>
      <c r="D145" s="3">
        <v>1194.98189875937</v>
      </c>
      <c r="E145" s="3">
        <v>-1175.5879944671</v>
      </c>
      <c r="F145" s="3">
        <v>12088.1982400512</v>
      </c>
      <c r="G145" s="4">
        <v>0.03522762744793</v>
      </c>
      <c r="H145" s="5">
        <f t="shared" si="1"/>
        <v>12107.62737</v>
      </c>
      <c r="I145" s="3">
        <v>-1055.0040931087</v>
      </c>
      <c r="J145" s="6">
        <f t="shared" si="2"/>
        <v>12228.21127</v>
      </c>
      <c r="K145" s="6">
        <f t="shared" si="3"/>
        <v>1.222821127</v>
      </c>
      <c r="L145" s="6">
        <f t="shared" si="4"/>
        <v>1.009959334</v>
      </c>
      <c r="M145" s="6">
        <f t="shared" si="5"/>
        <v>0.8974267329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AA145" s="3">
        <v>0.0</v>
      </c>
      <c r="AB145" s="3">
        <v>-1.0</v>
      </c>
      <c r="AC145" s="3">
        <v>5738.07369716</v>
      </c>
    </row>
    <row r="146" ht="12.75" customHeight="1">
      <c r="A146" s="3">
        <v>44.0</v>
      </c>
      <c r="B146" s="3">
        <v>11428.4317289393</v>
      </c>
      <c r="C146" s="3"/>
      <c r="D146" s="3">
        <v>1148.21471833996</v>
      </c>
      <c r="E146" s="3">
        <v>-1120.7742599826</v>
      </c>
      <c r="F146" s="3">
        <v>11402.4754079543</v>
      </c>
      <c r="G146" s="3">
        <v>0.04464631685292</v>
      </c>
      <c r="H146" s="5">
        <f t="shared" si="1"/>
        <v>11429.96051</v>
      </c>
      <c r="I146" s="3">
        <v>-1005.8096560357</v>
      </c>
      <c r="J146" s="6">
        <f t="shared" si="2"/>
        <v>11544.92512</v>
      </c>
      <c r="K146" s="6">
        <f t="shared" si="3"/>
        <v>1.154492512</v>
      </c>
      <c r="L146" s="6">
        <f t="shared" si="4"/>
        <v>1.01005818</v>
      </c>
      <c r="M146" s="6">
        <f t="shared" si="5"/>
        <v>0.8974239434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AA146" s="3">
        <v>0.0</v>
      </c>
      <c r="AB146" s="3">
        <v>0.0</v>
      </c>
      <c r="AC146" s="3">
        <v>5768.36957383</v>
      </c>
    </row>
    <row r="147" ht="12.75" customHeight="1">
      <c r="A147" s="3">
        <v>45.0</v>
      </c>
      <c r="B147" s="3">
        <v>10772.5114203521</v>
      </c>
      <c r="C147" s="3"/>
      <c r="D147" s="3">
        <v>1101.57245605185</v>
      </c>
      <c r="E147" s="3">
        <v>-1067.6384537597</v>
      </c>
      <c r="F147" s="3">
        <v>10739.9712799936</v>
      </c>
      <c r="G147" s="4">
        <v>0.02891040685195</v>
      </c>
      <c r="H147" s="5">
        <f t="shared" si="1"/>
        <v>10773.93419</v>
      </c>
      <c r="I147" s="3">
        <v>-958.06862917868</v>
      </c>
      <c r="J147" s="6">
        <f t="shared" si="2"/>
        <v>10883.50402</v>
      </c>
      <c r="K147" s="6">
        <f t="shared" si="3"/>
        <v>1.088350402</v>
      </c>
      <c r="L147" s="6">
        <f t="shared" si="4"/>
        <v>1.010169899</v>
      </c>
      <c r="M147" s="6">
        <f t="shared" si="5"/>
        <v>0.8973717889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AA147" s="3">
        <v>0.0</v>
      </c>
      <c r="AB147" s="3">
        <v>1.0</v>
      </c>
      <c r="AC147" s="3">
        <v>5738.07369716</v>
      </c>
    </row>
    <row r="148" ht="12.75" customHeight="1">
      <c r="A148" s="3">
        <v>46.0</v>
      </c>
      <c r="B148" s="3">
        <v>10136.3272927253</v>
      </c>
      <c r="C148" s="3"/>
      <c r="D148" s="3">
        <v>1054.81029556934</v>
      </c>
      <c r="E148" s="3">
        <v>-1015.6606800963</v>
      </c>
      <c r="F148" s="3">
        <v>10098.5432888949</v>
      </c>
      <c r="G148" s="4">
        <v>0.04319499182041</v>
      </c>
      <c r="H148" s="5">
        <f t="shared" si="1"/>
        <v>10137.7361</v>
      </c>
      <c r="I148" s="3">
        <v>-911.44049809379</v>
      </c>
      <c r="J148" s="6">
        <f t="shared" si="2"/>
        <v>10241.95628</v>
      </c>
      <c r="K148" s="6">
        <f t="shared" si="3"/>
        <v>1.024195628</v>
      </c>
      <c r="L148" s="6">
        <f t="shared" si="4"/>
        <v>1.01028042</v>
      </c>
      <c r="M148" s="6">
        <f t="shared" si="5"/>
        <v>0.8973868103</v>
      </c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AA148" s="3">
        <v>0.0</v>
      </c>
      <c r="AB148" s="3">
        <v>2.0</v>
      </c>
      <c r="AC148" s="3">
        <v>5856.52506859</v>
      </c>
    </row>
    <row r="149" ht="12.75" customHeight="1">
      <c r="A149" s="3">
        <v>47.0</v>
      </c>
      <c r="B149" s="3">
        <v>9512.20739350471</v>
      </c>
      <c r="C149" s="3"/>
      <c r="D149" s="3">
        <v>1006.37934659929</v>
      </c>
      <c r="E149" s="3">
        <v>-963.44281215423</v>
      </c>
      <c r="F149" s="3">
        <v>9470.54860247136</v>
      </c>
      <c r="G149" s="3">
        <v>0.03140800891926</v>
      </c>
      <c r="H149" s="5">
        <f t="shared" si="1"/>
        <v>9513.516545</v>
      </c>
      <c r="I149" s="3">
        <v>-864.52430642436</v>
      </c>
      <c r="J149" s="6">
        <f t="shared" si="2"/>
        <v>9612.435051</v>
      </c>
      <c r="K149" s="6">
        <f t="shared" si="3"/>
        <v>0.9612435051</v>
      </c>
      <c r="L149" s="6">
        <f t="shared" si="4"/>
        <v>1.010397681</v>
      </c>
      <c r="M149" s="6">
        <f t="shared" si="5"/>
        <v>0.8973280983</v>
      </c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AA149" s="3">
        <v>0.0</v>
      </c>
      <c r="AB149" s="3">
        <v>3.0</v>
      </c>
      <c r="AC149" s="3">
        <v>6558.81154952</v>
      </c>
    </row>
    <row r="150" ht="12.75" customHeight="1">
      <c r="A150" s="3">
        <v>48.0</v>
      </c>
      <c r="B150" s="3">
        <v>8892.82241472547</v>
      </c>
      <c r="C150" s="3"/>
      <c r="D150" s="3">
        <v>955.293210124833</v>
      </c>
      <c r="E150" s="3">
        <v>-909.89130208778</v>
      </c>
      <c r="F150" s="3">
        <v>8848.61599129743</v>
      </c>
      <c r="G150" s="3">
        <v>0.02896079850488</v>
      </c>
      <c r="H150" s="5">
        <f t="shared" si="1"/>
        <v>8894.04686</v>
      </c>
      <c r="I150" s="3">
        <v>-816.36612378329</v>
      </c>
      <c r="J150" s="6">
        <f t="shared" si="2"/>
        <v>8987.572038</v>
      </c>
      <c r="K150" s="6">
        <f t="shared" si="3"/>
        <v>0.8987572038</v>
      </c>
      <c r="L150" s="6">
        <f t="shared" si="4"/>
        <v>1.010515481</v>
      </c>
      <c r="M150" s="6">
        <f t="shared" si="5"/>
        <v>0.897212801</v>
      </c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AA150" s="3">
        <v>0.0</v>
      </c>
      <c r="AB150" s="3">
        <v>4.0</v>
      </c>
      <c r="AC150" s="3">
        <v>8291.57538353</v>
      </c>
    </row>
    <row r="151" ht="12.75" customHeight="1">
      <c r="A151" s="3">
        <v>49.0</v>
      </c>
      <c r="B151" s="3">
        <v>8276.98197805255</v>
      </c>
      <c r="C151" s="3"/>
      <c r="D151" s="3">
        <v>901.981733149088</v>
      </c>
      <c r="E151" s="3">
        <v>-855.1960088795</v>
      </c>
      <c r="F151" s="3">
        <v>8231.33118807718</v>
      </c>
      <c r="G151" s="3">
        <v>0.04205695975228</v>
      </c>
      <c r="H151" s="5">
        <f t="shared" si="1"/>
        <v>8278.158969</v>
      </c>
      <c r="I151" s="3">
        <v>-767.28638744266</v>
      </c>
      <c r="J151" s="6">
        <f t="shared" si="2"/>
        <v>8366.068591</v>
      </c>
      <c r="K151" s="6">
        <f t="shared" si="3"/>
        <v>0.8366068591</v>
      </c>
      <c r="L151" s="6">
        <f t="shared" si="4"/>
        <v>1.010619465</v>
      </c>
      <c r="M151" s="6">
        <f t="shared" si="5"/>
        <v>0.897205295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AA151" s="3">
        <v>0.0</v>
      </c>
      <c r="AB151" s="3">
        <v>5.0</v>
      </c>
      <c r="AC151" s="3">
        <v>11150.1000586</v>
      </c>
    </row>
    <row r="152" ht="12.75" customHeight="1">
      <c r="A152" s="3">
        <v>50.0</v>
      </c>
      <c r="B152" s="3">
        <v>7653.17309518921</v>
      </c>
      <c r="C152" s="3"/>
      <c r="D152" s="3">
        <v>844.660677474145</v>
      </c>
      <c r="E152" s="3">
        <v>-797.71507298172</v>
      </c>
      <c r="F152" s="3">
        <v>7607.26975714101</v>
      </c>
      <c r="G152" s="3">
        <v>0.04882949625411</v>
      </c>
      <c r="H152" s="5">
        <f t="shared" si="1"/>
        <v>7654.264191</v>
      </c>
      <c r="I152" s="3">
        <v>-715.68561534631</v>
      </c>
      <c r="J152" s="6">
        <f t="shared" si="2"/>
        <v>7736.293649</v>
      </c>
      <c r="K152" s="6">
        <f t="shared" si="3"/>
        <v>0.7736293649</v>
      </c>
      <c r="L152" s="6">
        <f t="shared" si="4"/>
        <v>1.010716831</v>
      </c>
      <c r="M152" s="6">
        <f t="shared" si="5"/>
        <v>0.8971694777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AA152" s="3">
        <v>0.0</v>
      </c>
      <c r="AB152" s="3">
        <v>6.0</v>
      </c>
      <c r="AC152" s="3">
        <v>14970.207733</v>
      </c>
    </row>
    <row r="153" ht="12.75" customHeight="1">
      <c r="A153" s="3">
        <v>51.0</v>
      </c>
      <c r="B153" s="3">
        <v>7021.90755657234</v>
      </c>
      <c r="C153" s="3"/>
      <c r="D153" s="3">
        <v>783.811670133758</v>
      </c>
      <c r="E153" s="3">
        <v>-737.75350441819</v>
      </c>
      <c r="F153" s="3">
        <v>6976.77476320664</v>
      </c>
      <c r="G153" s="3">
        <v>0.05062782837943</v>
      </c>
      <c r="H153" s="5">
        <f t="shared" si="1"/>
        <v>7022.883557</v>
      </c>
      <c r="I153" s="3">
        <v>-661.89688857586</v>
      </c>
      <c r="J153" s="6">
        <f t="shared" si="2"/>
        <v>7098.740173</v>
      </c>
      <c r="K153" s="6">
        <f t="shared" si="3"/>
        <v>0.7098740173</v>
      </c>
      <c r="L153" s="6">
        <f t="shared" si="4"/>
        <v>1.010801349</v>
      </c>
      <c r="M153" s="6">
        <f t="shared" si="5"/>
        <v>0.8971789149</v>
      </c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AA153" s="3">
        <v>0.0</v>
      </c>
      <c r="AB153" s="3">
        <v>7.0</v>
      </c>
      <c r="AC153" s="3">
        <v>19272.2025422</v>
      </c>
    </row>
    <row r="154" ht="12.75" customHeight="1">
      <c r="A154" s="3">
        <v>52.0</v>
      </c>
      <c r="B154" s="3">
        <v>6377.16767026896</v>
      </c>
      <c r="C154" s="3"/>
      <c r="D154" s="3">
        <v>718.539525557782</v>
      </c>
      <c r="E154" s="3">
        <v>-674.46809327742</v>
      </c>
      <c r="F154" s="3">
        <v>6333.85296542595</v>
      </c>
      <c r="G154" s="3">
        <v>0.03443707186262</v>
      </c>
      <c r="H154" s="5">
        <f t="shared" si="1"/>
        <v>6377.958835</v>
      </c>
      <c r="I154" s="3">
        <v>-605.0705977829</v>
      </c>
      <c r="J154" s="6">
        <f t="shared" si="2"/>
        <v>6447.35633</v>
      </c>
      <c r="K154" s="6">
        <f t="shared" si="3"/>
        <v>0.644735633</v>
      </c>
      <c r="L154" s="6">
        <f t="shared" si="4"/>
        <v>1.010880832</v>
      </c>
      <c r="M154" s="6">
        <f t="shared" si="5"/>
        <v>0.8971078155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AA154" s="3">
        <v>0.0</v>
      </c>
      <c r="AB154" s="3">
        <v>8.0</v>
      </c>
      <c r="AC154" s="3">
        <v>23523.5613146</v>
      </c>
    </row>
    <row r="155" ht="12.75" customHeight="1">
      <c r="A155" s="3">
        <v>53.0</v>
      </c>
      <c r="B155" s="3">
        <v>5726.12662402973</v>
      </c>
      <c r="C155" s="3"/>
      <c r="D155" s="3">
        <v>650.22425086695</v>
      </c>
      <c r="E155" s="3">
        <v>-608.96846697338</v>
      </c>
      <c r="F155" s="3">
        <v>5685.46063907245</v>
      </c>
      <c r="G155" s="3">
        <v>0.01992554881189</v>
      </c>
      <c r="H155" s="5">
        <f t="shared" si="1"/>
        <v>5726.736349</v>
      </c>
      <c r="I155" s="3">
        <v>-546.27270389399</v>
      </c>
      <c r="J155" s="6">
        <f t="shared" si="2"/>
        <v>5789.432112</v>
      </c>
      <c r="K155" s="6">
        <f t="shared" si="3"/>
        <v>0.5789432112</v>
      </c>
      <c r="L155" s="6">
        <f t="shared" si="4"/>
        <v>1.010947905</v>
      </c>
      <c r="M155" s="6">
        <f t="shared" si="5"/>
        <v>0.8970459614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AA155" s="3">
        <v>1.0</v>
      </c>
      <c r="AB155" s="3">
        <v>-8.0</v>
      </c>
      <c r="AC155" s="3">
        <v>23863.9133524</v>
      </c>
    </row>
    <row r="156" ht="12.75" customHeight="1">
      <c r="A156" s="3">
        <v>54.0</v>
      </c>
      <c r="B156" s="3">
        <v>5069.15079549585</v>
      </c>
      <c r="C156" s="3"/>
      <c r="D156" s="3">
        <v>578.973462982071</v>
      </c>
      <c r="E156" s="3">
        <v>-541.30348025477</v>
      </c>
      <c r="F156" s="3">
        <v>5031.90358087614</v>
      </c>
      <c r="G156" s="4">
        <v>0.0013437036769</v>
      </c>
      <c r="H156" s="5">
        <f t="shared" si="1"/>
        <v>5069.574907</v>
      </c>
      <c r="I156" s="3">
        <v>-485.50233144825</v>
      </c>
      <c r="J156" s="6">
        <f t="shared" si="2"/>
        <v>5125.376056</v>
      </c>
      <c r="K156" s="6">
        <f t="shared" si="3"/>
        <v>0.5125376056</v>
      </c>
      <c r="L156" s="6">
        <f t="shared" si="4"/>
        <v>1.011007067</v>
      </c>
      <c r="M156" s="6">
        <f t="shared" si="5"/>
        <v>0.8969133751</v>
      </c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AA156" s="3">
        <v>1.0</v>
      </c>
      <c r="AB156" s="3">
        <v>-7.0</v>
      </c>
      <c r="AC156" s="3">
        <v>19225.759411</v>
      </c>
    </row>
    <row r="157" ht="12.75" customHeight="1">
      <c r="A157" s="3">
        <v>55.0</v>
      </c>
      <c r="B157" s="3">
        <v>4444.16027402337</v>
      </c>
      <c r="C157" s="3"/>
      <c r="D157" s="3">
        <v>510.390960247615</v>
      </c>
      <c r="E157" s="3">
        <v>-476.38692485179</v>
      </c>
      <c r="F157" s="3">
        <v>4410.54378783044</v>
      </c>
      <c r="G157" s="3">
        <v>0.02818346229414</v>
      </c>
      <c r="H157" s="5">
        <f t="shared" si="1"/>
        <v>4444.576007</v>
      </c>
      <c r="I157" s="3">
        <v>-427.32017278445</v>
      </c>
      <c r="J157" s="6">
        <f t="shared" si="2"/>
        <v>4493.642759</v>
      </c>
      <c r="K157" s="6">
        <f t="shared" si="3"/>
        <v>0.4493642759</v>
      </c>
      <c r="L157" s="6">
        <f t="shared" si="4"/>
        <v>1.011039692</v>
      </c>
      <c r="M157" s="6">
        <f t="shared" si="5"/>
        <v>0.8970023116</v>
      </c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AA157" s="3">
        <v>1.0</v>
      </c>
      <c r="AB157" s="3">
        <v>-6.0</v>
      </c>
      <c r="AC157" s="3">
        <v>14669.2769481</v>
      </c>
    </row>
    <row r="158" ht="12.75" customHeight="1">
      <c r="A158" s="3">
        <v>56.0</v>
      </c>
      <c r="B158" s="3">
        <v>3833.98870864994</v>
      </c>
      <c r="C158" s="3"/>
      <c r="D158" s="3">
        <v>441.821306792865</v>
      </c>
      <c r="E158" s="3">
        <v>-411.86871298423</v>
      </c>
      <c r="F158" s="3">
        <v>3804.43623597095</v>
      </c>
      <c r="G158" s="3">
        <v>0.05985197364196</v>
      </c>
      <c r="H158" s="5">
        <f t="shared" si="1"/>
        <v>3834.448682</v>
      </c>
      <c r="I158" s="3">
        <v>-369.43735251387</v>
      </c>
      <c r="J158" s="6">
        <f t="shared" si="2"/>
        <v>3876.880042</v>
      </c>
      <c r="K158" s="6">
        <f t="shared" si="3"/>
        <v>0.3876880042</v>
      </c>
      <c r="L158" s="6">
        <f t="shared" si="4"/>
        <v>1.011065831</v>
      </c>
      <c r="M158" s="6">
        <f t="shared" si="5"/>
        <v>0.8969784324</v>
      </c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AA158" s="3">
        <v>1.0</v>
      </c>
      <c r="AB158" s="3">
        <v>-5.0</v>
      </c>
      <c r="AC158" s="3">
        <v>10850.3212396</v>
      </c>
    </row>
    <row r="159" ht="12.75" customHeight="1">
      <c r="A159" s="3">
        <v>57.0</v>
      </c>
      <c r="B159" s="3">
        <v>3285.85917972648</v>
      </c>
      <c r="C159" s="3"/>
      <c r="D159" s="3">
        <v>380.226296141457</v>
      </c>
      <c r="E159" s="3">
        <v>-354.10562217363</v>
      </c>
      <c r="F159" s="3">
        <v>3260.09720355566</v>
      </c>
      <c r="G159" s="3">
        <v>0.02848690428722</v>
      </c>
      <c r="H159" s="5">
        <f t="shared" si="1"/>
        <v>3286.246364</v>
      </c>
      <c r="I159" s="3">
        <v>-317.66541527747</v>
      </c>
      <c r="J159" s="6">
        <f t="shared" si="2"/>
        <v>3322.686571</v>
      </c>
      <c r="K159" s="6">
        <f t="shared" si="3"/>
        <v>0.3322686571</v>
      </c>
      <c r="L159" s="6">
        <f t="shared" si="4"/>
        <v>1.011088702</v>
      </c>
      <c r="M159" s="6">
        <f t="shared" si="5"/>
        <v>0.8970922668</v>
      </c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AA159" s="3">
        <v>1.0</v>
      </c>
      <c r="AB159" s="3">
        <v>-4.0</v>
      </c>
      <c r="AC159" s="3">
        <v>8003.15081375</v>
      </c>
    </row>
    <row r="160" ht="12.75" customHeight="1">
      <c r="A160" s="3">
        <v>58.0</v>
      </c>
      <c r="B160" s="3">
        <v>2760.82429200831</v>
      </c>
      <c r="C160" s="3"/>
      <c r="D160" s="3">
        <v>319.858477648632</v>
      </c>
      <c r="E160" s="3">
        <v>-297.68882605238</v>
      </c>
      <c r="F160" s="3">
        <v>2739.11318445408</v>
      </c>
      <c r="G160" s="3">
        <v>0.04038596508574</v>
      </c>
      <c r="H160" s="5">
        <f t="shared" si="1"/>
        <v>2761.323222</v>
      </c>
      <c r="I160" s="3">
        <v>-267.01445106208</v>
      </c>
      <c r="J160" s="6">
        <f t="shared" si="2"/>
        <v>2791.997597</v>
      </c>
      <c r="K160" s="6">
        <f t="shared" si="3"/>
        <v>0.2791997597</v>
      </c>
      <c r="L160" s="6">
        <f t="shared" si="4"/>
        <v>1.011108578</v>
      </c>
      <c r="M160" s="6">
        <f t="shared" si="5"/>
        <v>0.8969582587</v>
      </c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AA160" s="3">
        <v>1.0</v>
      </c>
      <c r="AB160" s="3">
        <v>-3.0</v>
      </c>
      <c r="AC160" s="3">
        <v>6353.4640901</v>
      </c>
    </row>
    <row r="161" ht="12.75" customHeight="1">
      <c r="A161" s="3">
        <v>59.0</v>
      </c>
      <c r="B161" s="3">
        <v>2305.79914602056</v>
      </c>
      <c r="C161" s="3"/>
      <c r="D161" s="3">
        <v>267.734410210041</v>
      </c>
      <c r="E161" s="3">
        <v>-249.03308199803</v>
      </c>
      <c r="F161" s="3">
        <v>2287.69561238188</v>
      </c>
      <c r="G161" s="3">
        <v>0.03086974000305</v>
      </c>
      <c r="H161" s="5">
        <f t="shared" si="1"/>
        <v>2306.42781</v>
      </c>
      <c r="I161" s="3">
        <v>-223.38710976119</v>
      </c>
      <c r="J161" s="6">
        <f t="shared" si="2"/>
        <v>2332.073783</v>
      </c>
      <c r="K161" s="6">
        <f t="shared" si="3"/>
        <v>0.2332073783</v>
      </c>
      <c r="L161" s="6">
        <f t="shared" si="4"/>
        <v>1.011119347</v>
      </c>
      <c r="M161" s="6">
        <f t="shared" si="5"/>
        <v>0.8970178097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AA161" s="3">
        <v>1.0</v>
      </c>
      <c r="AB161" s="3">
        <v>-2.0</v>
      </c>
      <c r="AC161" s="3">
        <v>5750.68070159</v>
      </c>
    </row>
    <row r="162" ht="12.75" customHeight="1">
      <c r="A162" s="3">
        <v>60.0</v>
      </c>
      <c r="B162" s="3">
        <v>1901.78987239443</v>
      </c>
      <c r="C162" s="3"/>
      <c r="D162" s="3">
        <v>221.129072995198</v>
      </c>
      <c r="E162" s="3">
        <v>-205.64027017377</v>
      </c>
      <c r="F162" s="3">
        <v>1887.07979056562</v>
      </c>
      <c r="G162" s="4">
        <v>4.6789809432E-4</v>
      </c>
      <c r="H162" s="5">
        <f t="shared" si="1"/>
        <v>1902.569061</v>
      </c>
      <c r="I162" s="3">
        <v>-184.43895595105</v>
      </c>
      <c r="J162" s="6">
        <f t="shared" si="2"/>
        <v>1923.770376</v>
      </c>
      <c r="K162" s="6">
        <f t="shared" si="3"/>
        <v>0.1923770376</v>
      </c>
      <c r="L162" s="6">
        <f t="shared" si="4"/>
        <v>1.011143519</v>
      </c>
      <c r="M162" s="6">
        <f t="shared" si="5"/>
        <v>0.8969009611</v>
      </c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AA162" s="3">
        <v>1.0</v>
      </c>
      <c r="AB162" s="3">
        <v>-1.0</v>
      </c>
      <c r="AC162" s="3">
        <v>5780.76755963</v>
      </c>
    </row>
    <row r="163" ht="12.75" customHeight="1">
      <c r="A163" s="3">
        <v>61.0</v>
      </c>
      <c r="B163" s="3">
        <v>1549.65620134128</v>
      </c>
      <c r="C163" s="3"/>
      <c r="D163" s="3">
        <v>180.420947010728</v>
      </c>
      <c r="E163" s="3">
        <v>-167.71317892123</v>
      </c>
      <c r="F163" s="3">
        <v>1538.07262489841</v>
      </c>
      <c r="G163" s="4">
        <v>0.0086044592848</v>
      </c>
      <c r="H163" s="5">
        <f t="shared" si="1"/>
        <v>1550.788997</v>
      </c>
      <c r="I163" s="3">
        <v>-150.42986806934</v>
      </c>
      <c r="J163" s="6">
        <f t="shared" si="2"/>
        <v>1568.072308</v>
      </c>
      <c r="K163" s="6">
        <f t="shared" si="3"/>
        <v>0.1568072308</v>
      </c>
      <c r="L163" s="6">
        <f t="shared" si="4"/>
        <v>1.01114485</v>
      </c>
      <c r="M163" s="6">
        <f t="shared" si="5"/>
        <v>0.8969472109</v>
      </c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AA163" s="3">
        <v>1.0</v>
      </c>
      <c r="AB163" s="3">
        <v>0.0</v>
      </c>
      <c r="AC163" s="3">
        <v>5753.71222075</v>
      </c>
    </row>
    <row r="164" ht="12.75" customHeight="1">
      <c r="A164" s="3">
        <v>62.0</v>
      </c>
      <c r="B164" s="3">
        <v>1245.38489160196</v>
      </c>
      <c r="C164" s="3"/>
      <c r="D164" s="3">
        <v>145.162190298257</v>
      </c>
      <c r="E164" s="3">
        <v>-134.90282960603</v>
      </c>
      <c r="F164" s="3">
        <v>1236.67480607199</v>
      </c>
      <c r="G164" s="4">
        <v>0.0086193541786</v>
      </c>
      <c r="H164" s="5">
        <f t="shared" si="1"/>
        <v>1246.942786</v>
      </c>
      <c r="I164" s="3">
        <v>-121.00091890909</v>
      </c>
      <c r="J164" s="6">
        <f t="shared" si="2"/>
        <v>1260.844697</v>
      </c>
      <c r="K164" s="6">
        <f t="shared" si="3"/>
        <v>0.1260844697</v>
      </c>
      <c r="L164" s="6">
        <f t="shared" si="4"/>
        <v>1.011148796</v>
      </c>
      <c r="M164" s="6">
        <f t="shared" si="5"/>
        <v>0.8969487094</v>
      </c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AA164" s="3">
        <v>1.0</v>
      </c>
      <c r="AB164" s="3">
        <v>1.0</v>
      </c>
      <c r="AC164" s="3">
        <v>5712.30079215</v>
      </c>
    </row>
    <row r="165" ht="12.75" customHeight="1">
      <c r="A165" s="3">
        <v>63.0</v>
      </c>
      <c r="B165" s="3">
        <v>987.501888597247</v>
      </c>
      <c r="C165" s="3"/>
      <c r="D165" s="3">
        <v>115.212127835622</v>
      </c>
      <c r="E165" s="3">
        <v>-107.08853382271</v>
      </c>
      <c r="F165" s="3">
        <v>981.417926729605</v>
      </c>
      <c r="G165" s="3">
        <v>-0.0142999277304</v>
      </c>
      <c r="H165" s="5">
        <f t="shared" si="1"/>
        <v>989.5272208</v>
      </c>
      <c r="I165" s="3">
        <v>-96.026503414569</v>
      </c>
      <c r="J165" s="6">
        <f t="shared" si="2"/>
        <v>1000.589251</v>
      </c>
      <c r="K165" s="6">
        <f t="shared" si="3"/>
        <v>0.1000589251</v>
      </c>
      <c r="L165" s="6">
        <f t="shared" si="4"/>
        <v>1.011179107</v>
      </c>
      <c r="M165" s="6">
        <f t="shared" si="5"/>
        <v>0.896702009</v>
      </c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AA165" s="3">
        <v>1.0</v>
      </c>
      <c r="AB165" s="3">
        <v>2.0</v>
      </c>
      <c r="AC165" s="3">
        <v>6141.07904408</v>
      </c>
    </row>
    <row r="166" ht="12.75" customHeight="1">
      <c r="A166" s="3">
        <v>64.0</v>
      </c>
      <c r="B166" s="3">
        <v>748.061478604873</v>
      </c>
      <c r="C166" s="3"/>
      <c r="D166" s="3">
        <v>87.9562970225806</v>
      </c>
      <c r="E166" s="3">
        <v>-81.755107494341</v>
      </c>
      <c r="F166" s="3">
        <v>744.612636036349</v>
      </c>
      <c r="G166" s="4">
        <v>-0.00697281973</v>
      </c>
      <c r="H166" s="5">
        <f t="shared" si="1"/>
        <v>750.8068527</v>
      </c>
      <c r="I166" s="3">
        <v>-73.449603117016</v>
      </c>
      <c r="J166" s="6">
        <f t="shared" si="2"/>
        <v>759.1123571</v>
      </c>
      <c r="K166" s="6">
        <f t="shared" si="3"/>
        <v>0.07591123571</v>
      </c>
      <c r="L166" s="6">
        <f t="shared" si="4"/>
        <v>1.011062105</v>
      </c>
      <c r="M166" s="6">
        <f t="shared" si="5"/>
        <v>0.8984099632</v>
      </c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AA166" s="3">
        <v>1.0</v>
      </c>
      <c r="AB166" s="3">
        <v>3.0</v>
      </c>
      <c r="AC166" s="3">
        <v>7158.34970331</v>
      </c>
    </row>
    <row r="167" ht="12.75" customHeight="1">
      <c r="A167" s="3">
        <v>65.0</v>
      </c>
      <c r="B167" s="3">
        <v>594.121786804691</v>
      </c>
      <c r="C167" s="3"/>
      <c r="D167" s="3">
        <v>69.7589567010217</v>
      </c>
      <c r="E167" s="3">
        <v>-64.814523398509</v>
      </c>
      <c r="F167" s="3">
        <v>592.624619231867</v>
      </c>
      <c r="G167" s="4">
        <v>-0.009564018977</v>
      </c>
      <c r="H167" s="5">
        <f t="shared" si="1"/>
        <v>597.5594885</v>
      </c>
      <c r="I167" s="3">
        <v>-58.149554904053</v>
      </c>
      <c r="J167" s="6">
        <f t="shared" si="2"/>
        <v>604.224457</v>
      </c>
      <c r="K167" s="6">
        <f t="shared" si="3"/>
        <v>0.0604224457</v>
      </c>
      <c r="L167" s="6">
        <f t="shared" si="4"/>
        <v>1.011153649</v>
      </c>
      <c r="M167" s="6">
        <f t="shared" si="5"/>
        <v>0.8971685952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AA167" s="3">
        <v>1.0</v>
      </c>
      <c r="AB167" s="3">
        <v>4.0</v>
      </c>
      <c r="AC167" s="3">
        <v>9134.29478516</v>
      </c>
    </row>
    <row r="168" ht="12.75" customHeight="1">
      <c r="A168" s="3">
        <v>66.0</v>
      </c>
      <c r="B168" s="3">
        <v>455.445935133259</v>
      </c>
      <c r="C168" s="3"/>
      <c r="D168" s="3">
        <v>53.5913487119425</v>
      </c>
      <c r="E168" s="3">
        <v>-49.770248076946</v>
      </c>
      <c r="F168" s="3">
        <v>455.908938010283</v>
      </c>
      <c r="G168" s="4">
        <v>-0.007428185363</v>
      </c>
      <c r="H168" s="5">
        <f t="shared" si="1"/>
        <v>459.7226105</v>
      </c>
      <c r="I168" s="3">
        <v>-44.624466108855</v>
      </c>
      <c r="J168" s="6">
        <f t="shared" si="2"/>
        <v>464.8683924</v>
      </c>
      <c r="K168" s="6">
        <f t="shared" si="3"/>
        <v>0.04648683924</v>
      </c>
      <c r="L168" s="6">
        <f t="shared" si="4"/>
        <v>1.011193232</v>
      </c>
      <c r="M168" s="6">
        <f t="shared" si="5"/>
        <v>0.8966092763</v>
      </c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AA168" s="3">
        <v>1.0</v>
      </c>
      <c r="AB168" s="3">
        <v>5.0</v>
      </c>
      <c r="AC168" s="3">
        <v>12177.9435104</v>
      </c>
    </row>
    <row r="169" ht="12.75" customHeight="1">
      <c r="A169" s="3">
        <v>67.0</v>
      </c>
      <c r="B169" s="3">
        <v>343.312638180282</v>
      </c>
      <c r="C169" s="3"/>
      <c r="D169" s="3">
        <v>40.6261939585435</v>
      </c>
      <c r="E169" s="3">
        <v>-37.707922870691</v>
      </c>
      <c r="F169" s="3">
        <v>345.56941511936</v>
      </c>
      <c r="G169" s="4">
        <v>-0.00478124878</v>
      </c>
      <c r="H169" s="5">
        <f t="shared" si="1"/>
        <v>348.482905</v>
      </c>
      <c r="I169" s="3">
        <v>-33.804769666472</v>
      </c>
      <c r="J169" s="6">
        <f t="shared" si="2"/>
        <v>352.3860582</v>
      </c>
      <c r="K169" s="6">
        <f t="shared" si="3"/>
        <v>0.03523860582</v>
      </c>
      <c r="L169" s="6">
        <f t="shared" si="4"/>
        <v>1.011200415</v>
      </c>
      <c r="M169" s="6">
        <f t="shared" si="5"/>
        <v>0.896489838</v>
      </c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AA169" s="3">
        <v>1.0</v>
      </c>
      <c r="AB169" s="3">
        <v>6.0</v>
      </c>
      <c r="AC169" s="3">
        <v>16112.0714974</v>
      </c>
    </row>
    <row r="170" ht="12.75" customHeight="1">
      <c r="A170" s="3">
        <v>68.0</v>
      </c>
      <c r="B170" s="3">
        <v>256.962559400076</v>
      </c>
      <c r="C170" s="3"/>
      <c r="D170" s="3">
        <v>30.6683997649159</v>
      </c>
      <c r="E170" s="3">
        <v>-28.442552344564</v>
      </c>
      <c r="F170" s="3">
        <v>260.807335884001</v>
      </c>
      <c r="G170" s="4">
        <v>-0.003151474653</v>
      </c>
      <c r="H170" s="5">
        <f t="shared" si="1"/>
        <v>263.0300318</v>
      </c>
      <c r="I170" s="3">
        <v>-25.494364751787</v>
      </c>
      <c r="J170" s="6">
        <f t="shared" si="2"/>
        <v>265.9782194</v>
      </c>
      <c r="K170" s="6">
        <f t="shared" si="3"/>
        <v>0.02659782194</v>
      </c>
      <c r="L170" s="6">
        <f t="shared" si="4"/>
        <v>1.011208559</v>
      </c>
      <c r="M170" s="6">
        <f t="shared" si="5"/>
        <v>0.896345885</v>
      </c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AA170" s="3">
        <v>1.0</v>
      </c>
      <c r="AB170" s="3">
        <v>7.0</v>
      </c>
      <c r="AC170" s="3">
        <v>20609.876134</v>
      </c>
    </row>
    <row r="171" ht="12.75" customHeight="1">
      <c r="A171" s="3">
        <v>69.0</v>
      </c>
      <c r="B171" s="3">
        <v>190.820206079673</v>
      </c>
      <c r="C171" s="3"/>
      <c r="D171" s="3">
        <v>23.0603977871427</v>
      </c>
      <c r="E171" s="3">
        <v>-21.362065094001</v>
      </c>
      <c r="F171" s="3">
        <v>196.048330509735</v>
      </c>
      <c r="G171" s="4">
        <v>-0.001991032863</v>
      </c>
      <c r="H171" s="5">
        <f t="shared" si="1"/>
        <v>197.7446722</v>
      </c>
      <c r="I171" s="3">
        <v>-19.143529295479</v>
      </c>
      <c r="J171" s="6">
        <f t="shared" si="2"/>
        <v>199.963208</v>
      </c>
      <c r="K171" s="6">
        <f t="shared" si="3"/>
        <v>0.0199963208</v>
      </c>
      <c r="L171" s="6">
        <f t="shared" si="4"/>
        <v>1.011219194</v>
      </c>
      <c r="M171" s="6">
        <f t="shared" si="5"/>
        <v>0.8961460051</v>
      </c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AA171" s="3">
        <v>1.0</v>
      </c>
      <c r="AB171" s="3">
        <v>8.0</v>
      </c>
      <c r="AC171" s="3">
        <v>25095.6180011</v>
      </c>
    </row>
    <row r="172" ht="12.75" customHeight="1">
      <c r="A172" s="3">
        <v>70.0</v>
      </c>
      <c r="B172" s="3">
        <v>141.841379244013</v>
      </c>
      <c r="C172" s="3"/>
      <c r="D172" s="3">
        <v>17.440867573261</v>
      </c>
      <c r="E172" s="3">
        <v>-16.131180200405</v>
      </c>
      <c r="F172" s="3">
        <v>148.215367941294</v>
      </c>
      <c r="G172" s="4">
        <v>-0.001237340302</v>
      </c>
      <c r="H172" s="5">
        <f t="shared" si="1"/>
        <v>149.523818</v>
      </c>
      <c r="I172" s="3">
        <v>-14.451513413194</v>
      </c>
      <c r="J172" s="6">
        <f t="shared" si="2"/>
        <v>151.2034848</v>
      </c>
      <c r="K172" s="6">
        <f t="shared" si="3"/>
        <v>0.01512034848</v>
      </c>
      <c r="L172" s="6">
        <f t="shared" si="4"/>
        <v>1.01123344</v>
      </c>
      <c r="M172" s="6">
        <f t="shared" si="5"/>
        <v>0.8958745258</v>
      </c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AA172" s="3">
        <v>2.0</v>
      </c>
      <c r="AB172" s="3">
        <v>-8.0</v>
      </c>
      <c r="AC172" s="3">
        <v>26166.3299892</v>
      </c>
    </row>
    <row r="173" ht="12.75" customHeight="1">
      <c r="A173" s="3">
        <v>71.0</v>
      </c>
      <c r="B173" s="3">
        <v>104.456851549358</v>
      </c>
      <c r="C173" s="3"/>
      <c r="D173" s="3">
        <v>13.1626832545395</v>
      </c>
      <c r="E173" s="3">
        <v>-12.147946345974</v>
      </c>
      <c r="F173" s="3">
        <v>111.796082107823</v>
      </c>
      <c r="G173" s="4">
        <v>-5.771391932E-4</v>
      </c>
      <c r="H173" s="5">
        <f t="shared" si="1"/>
        <v>112.8102419</v>
      </c>
      <c r="I173" s="3">
        <v>-10.87868037162</v>
      </c>
      <c r="J173" s="6">
        <f t="shared" si="2"/>
        <v>114.0795079</v>
      </c>
      <c r="K173" s="6">
        <f t="shared" si="3"/>
        <v>0.01140795079</v>
      </c>
      <c r="L173" s="6">
        <f t="shared" si="4"/>
        <v>1.011251336</v>
      </c>
      <c r="M173" s="6">
        <f t="shared" si="5"/>
        <v>0.8955160043</v>
      </c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AA173" s="3">
        <v>2.0</v>
      </c>
      <c r="AB173" s="3">
        <v>-7.0</v>
      </c>
      <c r="AC173" s="3">
        <v>20438.7286215</v>
      </c>
    </row>
    <row r="174" ht="12.75" customHeight="1">
      <c r="A174" s="3">
        <v>72.0</v>
      </c>
      <c r="B174" s="3">
        <v>77.1402152200371</v>
      </c>
      <c r="C174" s="3"/>
      <c r="D174" s="3">
        <v>10.0435705072259</v>
      </c>
      <c r="E174" s="3">
        <v>-9.2436591289903</v>
      </c>
      <c r="F174" s="3">
        <v>85.239291168496</v>
      </c>
      <c r="G174" s="4">
        <v>-1.442013265E-4</v>
      </c>
      <c r="H174" s="5">
        <f t="shared" si="1"/>
        <v>86.03905835</v>
      </c>
      <c r="I174" s="3">
        <v>-8.2736409211748</v>
      </c>
      <c r="J174" s="6">
        <f t="shared" si="2"/>
        <v>87.00907655</v>
      </c>
      <c r="K174" s="6">
        <f t="shared" si="3"/>
        <v>0.008700907655</v>
      </c>
      <c r="L174" s="6">
        <f t="shared" si="4"/>
        <v>1.011274161</v>
      </c>
      <c r="M174" s="6">
        <f t="shared" si="5"/>
        <v>0.8950612312</v>
      </c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AA174" s="3">
        <v>2.0</v>
      </c>
      <c r="AB174" s="3">
        <v>-6.0</v>
      </c>
      <c r="AC174" s="3">
        <v>15429.6055038</v>
      </c>
    </row>
    <row r="175" ht="12.75" customHeight="1">
      <c r="A175" s="3">
        <v>73.0</v>
      </c>
      <c r="B175" s="3">
        <v>56.897153583669</v>
      </c>
      <c r="C175" s="3"/>
      <c r="D175" s="3">
        <v>7.73657748041421</v>
      </c>
      <c r="E175" s="3">
        <v>-7.095466317175</v>
      </c>
      <c r="F175" s="3">
        <v>65.590298643508</v>
      </c>
      <c r="G175" s="4">
        <v>2.1851244967E-4</v>
      </c>
      <c r="H175" s="5">
        <f t="shared" si="1"/>
        <v>66.23162832</v>
      </c>
      <c r="I175" s="3">
        <v>-6.3469498644478</v>
      </c>
      <c r="J175" s="6">
        <f t="shared" si="2"/>
        <v>66.98014477</v>
      </c>
      <c r="K175" s="6">
        <f t="shared" si="3"/>
        <v>0.006698014477</v>
      </c>
      <c r="L175" s="6">
        <f t="shared" si="4"/>
        <v>1.011301496</v>
      </c>
      <c r="M175" s="6">
        <f t="shared" si="5"/>
        <v>0.8945077858</v>
      </c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AA175" s="3">
        <v>2.0</v>
      </c>
      <c r="AB175" s="3">
        <v>-5.0</v>
      </c>
      <c r="AC175" s="3">
        <v>11400.4643426</v>
      </c>
    </row>
    <row r="176" ht="12.75" customHeight="1">
      <c r="A176" s="3">
        <v>74.0</v>
      </c>
      <c r="B176" s="3">
        <v>42.2618251089729</v>
      </c>
      <c r="C176" s="3"/>
      <c r="D176" s="3">
        <v>6.07072345699107</v>
      </c>
      <c r="E176" s="3">
        <v>-5.5444841367434</v>
      </c>
      <c r="F176" s="3">
        <v>51.3949910448349</v>
      </c>
      <c r="G176" s="4">
        <v>4.5989257118E-4</v>
      </c>
      <c r="H176" s="5">
        <f t="shared" si="1"/>
        <v>51.92169026</v>
      </c>
      <c r="I176" s="3">
        <v>-4.9560218807887</v>
      </c>
      <c r="J176" s="6">
        <f t="shared" si="2"/>
        <v>52.51015251</v>
      </c>
      <c r="K176" s="6">
        <f t="shared" si="3"/>
        <v>0.005251015251</v>
      </c>
      <c r="L176" s="6">
        <f t="shared" si="4"/>
        <v>1.01133365</v>
      </c>
      <c r="M176" s="6">
        <f t="shared" si="5"/>
        <v>0.8938652828</v>
      </c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AA176" s="3">
        <v>2.0</v>
      </c>
      <c r="AB176" s="3">
        <v>-4.0</v>
      </c>
      <c r="AC176" s="3">
        <v>8532.52588922</v>
      </c>
    </row>
    <row r="177" ht="12.75" customHeight="1">
      <c r="A177" s="3">
        <v>75.0</v>
      </c>
      <c r="B177" s="3">
        <v>31.3577047209013</v>
      </c>
      <c r="C177" s="3"/>
      <c r="D177" s="3">
        <v>4.83015921972982</v>
      </c>
      <c r="E177" s="3">
        <v>-4.3897268067253</v>
      </c>
      <c r="F177" s="3">
        <v>40.8157768078842</v>
      </c>
      <c r="G177" s="4">
        <v>6.2422859637E-4</v>
      </c>
      <c r="H177" s="5">
        <f t="shared" si="1"/>
        <v>41.25683345</v>
      </c>
      <c r="I177" s="3">
        <v>-3.9205842755736</v>
      </c>
      <c r="J177" s="6">
        <f t="shared" si="2"/>
        <v>41.72597598</v>
      </c>
      <c r="K177" s="6">
        <f t="shared" si="3"/>
        <v>0.004172597598</v>
      </c>
      <c r="L177" s="6">
        <f t="shared" si="4"/>
        <v>1.011371269</v>
      </c>
      <c r="M177" s="6">
        <f t="shared" si="5"/>
        <v>0.893127169</v>
      </c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AA177" s="3">
        <v>2.0</v>
      </c>
      <c r="AB177" s="3">
        <v>-3.0</v>
      </c>
      <c r="AC177" s="3">
        <v>8082.99886294</v>
      </c>
    </row>
    <row r="178" ht="12.75" customHeight="1">
      <c r="A178" s="3">
        <v>76.0</v>
      </c>
      <c r="B178" s="3">
        <v>22.8679822965249</v>
      </c>
      <c r="C178" s="3"/>
      <c r="D178" s="3">
        <v>3.8636432588052</v>
      </c>
      <c r="E178" s="3">
        <v>-3.4903192713949</v>
      </c>
      <c r="F178" s="3">
        <v>32.5644359760695</v>
      </c>
      <c r="G178" s="4">
        <v>7.3944530414E-4</v>
      </c>
      <c r="H178" s="5">
        <f t="shared" si="1"/>
        <v>32.93849941</v>
      </c>
      <c r="I178" s="3">
        <v>-3.1142787805451</v>
      </c>
      <c r="J178" s="6">
        <f t="shared" si="2"/>
        <v>33.3145399</v>
      </c>
      <c r="K178" s="6">
        <f t="shared" si="3"/>
        <v>0.00333145399</v>
      </c>
      <c r="L178" s="6">
        <f t="shared" si="4"/>
        <v>1.011416443</v>
      </c>
      <c r="M178" s="6">
        <f t="shared" si="5"/>
        <v>0.8922618644</v>
      </c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AA178" s="3">
        <v>2.0</v>
      </c>
      <c r="AB178" s="3">
        <v>-2.0</v>
      </c>
      <c r="AC178" s="3">
        <v>6621.38041686</v>
      </c>
    </row>
    <row r="179" ht="12.75" customHeight="1">
      <c r="A179" s="3">
        <v>77.0</v>
      </c>
      <c r="B179" s="3">
        <v>16.6630395423325</v>
      </c>
      <c r="C179" s="3"/>
      <c r="D179" s="3">
        <v>3.15555249053578</v>
      </c>
      <c r="E179" s="3">
        <v>-2.8316517352972</v>
      </c>
      <c r="F179" s="3">
        <v>26.5096644835514</v>
      </c>
      <c r="G179" s="4">
        <v>7.7538495467E-4</v>
      </c>
      <c r="H179" s="5">
        <f t="shared" si="1"/>
        <v>26.83434062</v>
      </c>
      <c r="I179" s="3">
        <v>-2.5239219524806</v>
      </c>
      <c r="J179" s="6">
        <f t="shared" si="2"/>
        <v>27.14207041</v>
      </c>
      <c r="K179" s="6">
        <f t="shared" si="3"/>
        <v>0.002714207041</v>
      </c>
      <c r="L179" s="6">
        <f t="shared" si="4"/>
        <v>1.01146776</v>
      </c>
      <c r="M179" s="6">
        <f t="shared" si="5"/>
        <v>0.8913249892</v>
      </c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AA179" s="3">
        <v>2.0</v>
      </c>
      <c r="AB179" s="3">
        <v>-1.0</v>
      </c>
      <c r="AC179" s="3">
        <v>5910.55156952</v>
      </c>
    </row>
    <row r="180" ht="12.75" customHeight="1">
      <c r="A180" s="3">
        <v>78.0</v>
      </c>
      <c r="B180" s="3">
        <v>12.0218071408078</v>
      </c>
      <c r="C180" s="3"/>
      <c r="D180" s="3">
        <v>2.62323476525883</v>
      </c>
      <c r="E180" s="3">
        <v>-2.3365821820367</v>
      </c>
      <c r="F180" s="3">
        <v>21.9471471703453</v>
      </c>
      <c r="G180" s="4">
        <v>7.8257778436E-4</v>
      </c>
      <c r="H180" s="5">
        <f t="shared" si="1"/>
        <v>22.23458233</v>
      </c>
      <c r="I180" s="3">
        <v>-2.080340924742</v>
      </c>
      <c r="J180" s="6">
        <f t="shared" si="2"/>
        <v>22.49082359</v>
      </c>
      <c r="K180" s="6">
        <f t="shared" si="3"/>
        <v>0.002249082359</v>
      </c>
      <c r="L180" s="6">
        <f t="shared" si="4"/>
        <v>1.011524447</v>
      </c>
      <c r="M180" s="6">
        <f t="shared" si="5"/>
        <v>0.8903350119</v>
      </c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AA180" s="3">
        <v>2.0</v>
      </c>
      <c r="AB180" s="3">
        <v>0.0</v>
      </c>
      <c r="AC180" s="3">
        <v>6002.40094989</v>
      </c>
    </row>
    <row r="181" ht="12.75" customHeight="1">
      <c r="A181" s="3">
        <v>79.0</v>
      </c>
      <c r="B181" s="3">
        <v>8.38783085619993</v>
      </c>
      <c r="C181" s="3"/>
      <c r="D181" s="3">
        <v>2.20269405395949</v>
      </c>
      <c r="E181" s="3">
        <v>-1.9454427187391</v>
      </c>
      <c r="F181" s="3">
        <v>18.3307519996796</v>
      </c>
      <c r="G181" s="4">
        <v>7.64149211E-4</v>
      </c>
      <c r="H181" s="5">
        <f t="shared" si="1"/>
        <v>18.58876748</v>
      </c>
      <c r="I181" s="3">
        <v>-1.7300154811447</v>
      </c>
      <c r="J181" s="6">
        <f t="shared" si="2"/>
        <v>18.80419472</v>
      </c>
      <c r="K181" s="6">
        <f t="shared" si="3"/>
        <v>0.001880419472</v>
      </c>
      <c r="L181" s="6">
        <f t="shared" si="4"/>
        <v>1.011589108</v>
      </c>
      <c r="M181" s="6">
        <f t="shared" si="5"/>
        <v>0.8892657</v>
      </c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AA181" s="3">
        <v>2.0</v>
      </c>
      <c r="AB181" s="3">
        <v>1.0</v>
      </c>
      <c r="AC181" s="3">
        <v>5978.74133682</v>
      </c>
    </row>
    <row r="182" ht="12.75" customHeight="1">
      <c r="A182" s="3">
        <v>80.0</v>
      </c>
      <c r="B182" s="3">
        <v>5.62432888871925</v>
      </c>
      <c r="C182" s="3"/>
      <c r="D182" s="3">
        <v>1.87810395178429</v>
      </c>
      <c r="E182" s="3">
        <v>-1.6433713735742</v>
      </c>
      <c r="F182" s="3">
        <v>15.5265769860005</v>
      </c>
      <c r="G182" s="4">
        <v>7.2911439551E-4</v>
      </c>
      <c r="H182" s="5">
        <f t="shared" si="1"/>
        <v>15.76203868</v>
      </c>
      <c r="I182" s="3">
        <v>-1.4595920952875</v>
      </c>
      <c r="J182" s="6">
        <f t="shared" si="2"/>
        <v>15.94581796</v>
      </c>
      <c r="K182" s="6">
        <f t="shared" si="3"/>
        <v>0.001594581796</v>
      </c>
      <c r="L182" s="6">
        <f t="shared" si="4"/>
        <v>1.011659613</v>
      </c>
      <c r="M182" s="6">
        <f t="shared" si="5"/>
        <v>0.8881693565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AA182" s="3">
        <v>2.0</v>
      </c>
      <c r="AB182" s="3">
        <v>2.0</v>
      </c>
      <c r="AC182" s="3">
        <v>6111.28989658</v>
      </c>
    </row>
    <row r="183" ht="12.75" customHeight="1">
      <c r="A183" s="3">
        <v>81.0</v>
      </c>
      <c r="B183" s="3">
        <v>3.47525085229585</v>
      </c>
      <c r="C183" s="3"/>
      <c r="D183" s="3">
        <v>1.61913877945887</v>
      </c>
      <c r="E183" s="3">
        <v>-1.4019848744766</v>
      </c>
      <c r="F183" s="3">
        <v>13.2735046354874</v>
      </c>
      <c r="G183" s="4">
        <v>6.9065155998E-4</v>
      </c>
      <c r="H183" s="5">
        <f t="shared" si="1"/>
        <v>13.49134919</v>
      </c>
      <c r="I183" s="3">
        <v>-1.2436438580808</v>
      </c>
      <c r="J183" s="6">
        <f t="shared" si="2"/>
        <v>13.64969021</v>
      </c>
      <c r="K183" s="6">
        <f t="shared" si="3"/>
        <v>0.001364969021</v>
      </c>
      <c r="L183" s="6">
        <f t="shared" si="4"/>
        <v>1.011736485</v>
      </c>
      <c r="M183" s="6">
        <f t="shared" si="5"/>
        <v>0.8870593975</v>
      </c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AA183" s="3">
        <v>2.0</v>
      </c>
      <c r="AB183" s="3">
        <v>3.0</v>
      </c>
      <c r="AC183" s="3">
        <v>6802.20393967</v>
      </c>
    </row>
    <row r="184" ht="12.75" customHeight="1">
      <c r="A184" s="3">
        <v>82.0</v>
      </c>
      <c r="B184" s="3">
        <v>1.8527828630869</v>
      </c>
      <c r="C184" s="3"/>
      <c r="D184" s="3">
        <v>1.41581647653201</v>
      </c>
      <c r="E184" s="3">
        <v>-1.2118926414801</v>
      </c>
      <c r="F184" s="3">
        <v>11.487026040843</v>
      </c>
      <c r="G184" s="4">
        <v>6.4659519689E-4</v>
      </c>
      <c r="H184" s="5">
        <f t="shared" si="1"/>
        <v>11.69159647</v>
      </c>
      <c r="I184" s="3">
        <v>-1.0737252346202</v>
      </c>
      <c r="J184" s="6">
        <f t="shared" si="2"/>
        <v>11.82976388</v>
      </c>
      <c r="K184" s="6">
        <f t="shared" si="3"/>
        <v>0.001182976388</v>
      </c>
      <c r="L184" s="6">
        <f t="shared" si="4"/>
        <v>1.011817668</v>
      </c>
      <c r="M184" s="6">
        <f t="shared" si="5"/>
        <v>0.8859903905</v>
      </c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AA184" s="3">
        <v>2.0</v>
      </c>
      <c r="AB184" s="3">
        <v>4.0</v>
      </c>
      <c r="AC184" s="3">
        <v>10463.9034217</v>
      </c>
    </row>
    <row r="185" ht="12.75" customHeight="1">
      <c r="A185" s="3">
        <v>83.0</v>
      </c>
      <c r="B185" s="3">
        <v>0.59850531504131</v>
      </c>
      <c r="C185" s="3"/>
      <c r="D185" s="3">
        <v>1.24827189974592</v>
      </c>
      <c r="E185" s="3">
        <v>-1.0543388248765</v>
      </c>
      <c r="F185" s="3">
        <v>9.99232858199064</v>
      </c>
      <c r="G185" s="4">
        <v>6.0555121562E-4</v>
      </c>
      <c r="H185" s="5">
        <f t="shared" si="1"/>
        <v>10.18686721</v>
      </c>
      <c r="I185" s="3">
        <v>-0.9330606364114</v>
      </c>
      <c r="J185" s="6">
        <f t="shared" si="2"/>
        <v>10.3081454</v>
      </c>
      <c r="K185" s="6">
        <f t="shared" si="3"/>
        <v>0.00103081454</v>
      </c>
      <c r="L185" s="6">
        <f t="shared" si="4"/>
        <v>1.011905347</v>
      </c>
      <c r="M185" s="6">
        <f t="shared" si="5"/>
        <v>0.8849722825</v>
      </c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AA185" s="3">
        <v>2.0</v>
      </c>
      <c r="AB185" s="3">
        <v>5.0</v>
      </c>
      <c r="AC185" s="3">
        <v>13839.7456637</v>
      </c>
    </row>
    <row r="186" ht="12.75" customHeight="1">
      <c r="A186" s="3">
        <v>84.0</v>
      </c>
      <c r="B186" s="3">
        <v>-0.3292171028594</v>
      </c>
      <c r="C186" s="3"/>
      <c r="D186" s="3">
        <v>1.11148343341068</v>
      </c>
      <c r="E186" s="3">
        <v>-0.9243939954401</v>
      </c>
      <c r="F186" s="3">
        <v>8.74387017567639</v>
      </c>
      <c r="G186" s="4">
        <v>5.6666231194E-4</v>
      </c>
      <c r="H186" s="5">
        <f t="shared" si="1"/>
        <v>8.931526276</v>
      </c>
      <c r="I186" s="3">
        <v>-0.8172264050812</v>
      </c>
      <c r="J186" s="6">
        <f t="shared" si="2"/>
        <v>9.038693866</v>
      </c>
      <c r="K186" s="6">
        <f t="shared" si="3"/>
        <v>0.0009038693866</v>
      </c>
      <c r="L186" s="6">
        <f t="shared" si="4"/>
        <v>1.011998799</v>
      </c>
      <c r="M186" s="6">
        <f t="shared" si="5"/>
        <v>0.8840671933</v>
      </c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AA186" s="3">
        <v>2.0</v>
      </c>
      <c r="AB186" s="3">
        <v>6.0</v>
      </c>
      <c r="AC186" s="3">
        <v>18064.6162149</v>
      </c>
    </row>
    <row r="187" ht="12.75" customHeight="1">
      <c r="A187" s="3">
        <v>85.0</v>
      </c>
      <c r="B187" s="3">
        <v>-0.96856870018</v>
      </c>
      <c r="C187" s="3"/>
      <c r="D187" s="3">
        <v>1.00075365651499</v>
      </c>
      <c r="E187" s="3">
        <v>-0.8172797561233</v>
      </c>
      <c r="F187" s="3">
        <v>7.69611722531149</v>
      </c>
      <c r="G187" s="4">
        <v>5.2989189254E-4</v>
      </c>
      <c r="H187" s="5">
        <f t="shared" si="1"/>
        <v>7.880121018</v>
      </c>
      <c r="I187" s="3">
        <v>-0.7219479511713</v>
      </c>
      <c r="J187" s="6">
        <f t="shared" si="2"/>
        <v>7.975452823</v>
      </c>
      <c r="K187" s="6">
        <f t="shared" si="3"/>
        <v>0.0007975452823</v>
      </c>
      <c r="L187" s="6">
        <f t="shared" si="4"/>
        <v>1.012097759</v>
      </c>
      <c r="M187" s="6">
        <f t="shared" si="5"/>
        <v>0.8833547457</v>
      </c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AA187" s="3">
        <v>2.0</v>
      </c>
      <c r="AB187" s="3">
        <v>7.0</v>
      </c>
      <c r="AC187" s="3">
        <v>23135.6443665</v>
      </c>
    </row>
    <row r="188" ht="12.75" customHeight="1">
      <c r="A188" s="3">
        <v>86.0</v>
      </c>
      <c r="B188" s="3">
        <v>-1.3895684704302</v>
      </c>
      <c r="C188" s="3"/>
      <c r="D188" s="3">
        <v>0.90644204795847</v>
      </c>
      <c r="E188" s="3">
        <v>-0.7232480519643</v>
      </c>
      <c r="F188" s="3">
        <v>6.75386878636404</v>
      </c>
      <c r="G188" s="4">
        <v>4.9059843189E-4</v>
      </c>
      <c r="H188" s="5">
        <f t="shared" si="1"/>
        <v>6.937553381</v>
      </c>
      <c r="I188" s="3">
        <v>-0.6385339878131</v>
      </c>
      <c r="J188" s="6">
        <f t="shared" si="2"/>
        <v>7.022267445</v>
      </c>
      <c r="K188" s="6">
        <f t="shared" si="3"/>
        <v>0.0007022267445</v>
      </c>
      <c r="L188" s="6">
        <f t="shared" si="4"/>
        <v>1.012210942</v>
      </c>
      <c r="M188" s="6">
        <f t="shared" si="5"/>
        <v>0.8828699726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AA188" s="3">
        <v>2.0</v>
      </c>
      <c r="AB188" s="3">
        <v>8.0</v>
      </c>
      <c r="AC188" s="3">
        <v>28797.2964587</v>
      </c>
    </row>
    <row r="189" ht="12.75" customHeight="1">
      <c r="A189" s="3">
        <v>87.0</v>
      </c>
      <c r="B189" s="3">
        <v>-1.5889391908831</v>
      </c>
      <c r="C189" s="3"/>
      <c r="D189" s="3">
        <v>0.83327749411234</v>
      </c>
      <c r="E189" s="3">
        <v>-0.6463252406837</v>
      </c>
      <c r="F189" s="3">
        <v>5.95645653810458</v>
      </c>
      <c r="G189" s="4">
        <v>4.5581645612E-4</v>
      </c>
      <c r="H189" s="5">
        <f t="shared" si="1"/>
        <v>6.143864608</v>
      </c>
      <c r="I189" s="3">
        <v>-0.5705471675408</v>
      </c>
      <c r="J189" s="6">
        <f t="shared" si="2"/>
        <v>6.219642681</v>
      </c>
      <c r="K189" s="6">
        <f t="shared" si="3"/>
        <v>0.0006219642681</v>
      </c>
      <c r="L189" s="6">
        <f t="shared" si="4"/>
        <v>1.012333943</v>
      </c>
      <c r="M189" s="6">
        <f t="shared" si="5"/>
        <v>0.8827555101</v>
      </c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AA189" s="3">
        <v>3.0</v>
      </c>
      <c r="AB189" s="3">
        <v>-8.0</v>
      </c>
      <c r="AC189" s="3">
        <v>30130.5275643</v>
      </c>
    </row>
    <row r="190" ht="12.75" customHeight="1">
      <c r="A190" s="3">
        <v>88.0</v>
      </c>
      <c r="B190" s="4">
        <v>-1.6245908911593</v>
      </c>
      <c r="C190" s="4"/>
      <c r="D190" s="3">
        <v>0.77278375274182</v>
      </c>
      <c r="E190" s="3">
        <v>-0.5769740404654</v>
      </c>
      <c r="F190" s="3">
        <v>5.2053143634111</v>
      </c>
      <c r="G190" s="4">
        <v>4.2210554521E-4</v>
      </c>
      <c r="H190" s="5">
        <f t="shared" si="1"/>
        <v>5.401546181</v>
      </c>
      <c r="I190" s="3">
        <v>-0.5095253286284</v>
      </c>
      <c r="J190" s="6">
        <f t="shared" si="2"/>
        <v>5.468994893</v>
      </c>
      <c r="K190" s="6">
        <f t="shared" si="3"/>
        <v>0.0005468994893</v>
      </c>
      <c r="L190" s="6">
        <f t="shared" si="4"/>
        <v>1.012486927</v>
      </c>
      <c r="M190" s="6">
        <f t="shared" si="5"/>
        <v>0.8830992261</v>
      </c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AA190" s="3">
        <v>3.0</v>
      </c>
      <c r="AB190" s="3">
        <v>-7.0</v>
      </c>
      <c r="AC190" s="3">
        <v>22941.2758986</v>
      </c>
    </row>
    <row r="191" ht="12.75" customHeight="1">
      <c r="A191" s="3">
        <v>89.0</v>
      </c>
      <c r="B191" s="4">
        <v>-1.5197512337394</v>
      </c>
      <c r="C191" s="4"/>
      <c r="D191" s="3">
        <v>0.72917635543</v>
      </c>
      <c r="E191" s="3">
        <v>-0.5187740703559</v>
      </c>
      <c r="F191" s="3">
        <v>4.53662816240397</v>
      </c>
      <c r="G191" s="4">
        <v>3.9232749617E-4</v>
      </c>
      <c r="H191" s="5">
        <f t="shared" si="1"/>
        <v>4.747422775</v>
      </c>
      <c r="I191" s="3">
        <v>-0.4586080486525</v>
      </c>
      <c r="J191" s="6">
        <f t="shared" si="2"/>
        <v>4.807588797</v>
      </c>
      <c r="K191" s="6">
        <f t="shared" si="3"/>
        <v>0.0004807588797</v>
      </c>
      <c r="L191" s="6">
        <f t="shared" si="4"/>
        <v>1.012673407</v>
      </c>
      <c r="M191" s="6">
        <f t="shared" si="5"/>
        <v>0.884022689</v>
      </c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AA191" s="3">
        <v>3.0</v>
      </c>
      <c r="AB191" s="3">
        <v>-6.0</v>
      </c>
      <c r="AC191" s="3">
        <v>17315.9692504</v>
      </c>
    </row>
    <row r="192" ht="12.75" customHeight="1">
      <c r="A192" s="3">
        <v>90.0</v>
      </c>
      <c r="B192" s="4">
        <v>-1.3012027594569</v>
      </c>
      <c r="C192" s="4"/>
      <c r="D192" s="3">
        <v>0.70282741468942</v>
      </c>
      <c r="E192" s="3">
        <v>-0.4704806370751</v>
      </c>
      <c r="F192" s="3">
        <v>3.93275779665746</v>
      </c>
      <c r="G192" s="4">
        <v>3.6861567161E-4</v>
      </c>
      <c r="H192" s="5">
        <f t="shared" si="1"/>
        <v>4.16547319</v>
      </c>
      <c r="I192" s="3">
        <v>-0.4166982146934</v>
      </c>
      <c r="J192" s="6">
        <f t="shared" si="2"/>
        <v>4.219255612</v>
      </c>
      <c r="K192" s="6">
        <f t="shared" si="3"/>
        <v>0.0004219255612</v>
      </c>
      <c r="L192" s="6">
        <f t="shared" si="4"/>
        <v>1.01291148</v>
      </c>
      <c r="M192" s="6">
        <f t="shared" si="5"/>
        <v>0.885686215</v>
      </c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AA192" s="3">
        <v>3.0</v>
      </c>
      <c r="AB192" s="3">
        <v>-5.0</v>
      </c>
      <c r="AC192" s="3">
        <v>16013.0514989</v>
      </c>
    </row>
    <row r="193" ht="12.75" customHeight="1">
      <c r="A193" s="3">
        <v>91.0</v>
      </c>
      <c r="B193" s="3">
        <v>-0.9975648854976</v>
      </c>
      <c r="C193" s="3"/>
      <c r="D193" s="3">
        <v>0.69323133496994</v>
      </c>
      <c r="E193" s="3">
        <v>-0.430253804711</v>
      </c>
      <c r="F193" s="3">
        <v>3.37099423934602</v>
      </c>
      <c r="G193" s="4">
        <v>3.4934303881E-4</v>
      </c>
      <c r="H193" s="5">
        <f t="shared" si="1"/>
        <v>3.634321113</v>
      </c>
      <c r="I193" s="3">
        <v>-0.3821640521137</v>
      </c>
      <c r="J193" s="6">
        <f t="shared" si="2"/>
        <v>3.682410865</v>
      </c>
      <c r="K193" s="6">
        <f t="shared" si="3"/>
        <v>0.0003682410865</v>
      </c>
      <c r="L193" s="6">
        <f t="shared" si="4"/>
        <v>1.013232114</v>
      </c>
      <c r="M193" s="6">
        <f t="shared" si="5"/>
        <v>0.888229338</v>
      </c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AA193" s="3">
        <v>3.0</v>
      </c>
      <c r="AB193" s="3">
        <v>-4.0</v>
      </c>
      <c r="AC193" s="3">
        <v>12312.923201</v>
      </c>
    </row>
    <row r="194" ht="12.75" customHeight="1">
      <c r="A194" s="3">
        <v>92.0</v>
      </c>
      <c r="B194" s="3">
        <v>-0.646928724074</v>
      </c>
      <c r="C194" s="3"/>
      <c r="D194" s="3">
        <v>0.70322367163665</v>
      </c>
      <c r="E194" s="3">
        <v>-0.4014450183117</v>
      </c>
      <c r="F194" s="3">
        <v>2.89046567941781</v>
      </c>
      <c r="G194" s="4">
        <v>3.377337528E-4</v>
      </c>
      <c r="H194" s="5">
        <f t="shared" si="1"/>
        <v>3.192582066</v>
      </c>
      <c r="I194" s="3">
        <v>-0.3579036944297</v>
      </c>
      <c r="J194" s="6">
        <f t="shared" si="2"/>
        <v>3.23612339</v>
      </c>
      <c r="K194" s="6">
        <f t="shared" si="3"/>
        <v>0.000323612339</v>
      </c>
      <c r="L194" s="6">
        <f t="shared" si="4"/>
        <v>1.013638279</v>
      </c>
      <c r="M194" s="6">
        <f t="shared" si="5"/>
        <v>0.8915385124</v>
      </c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AA194" s="3">
        <v>3.0</v>
      </c>
      <c r="AB194" s="3">
        <v>-3.0</v>
      </c>
      <c r="AC194" s="3">
        <v>9475.95901892</v>
      </c>
    </row>
    <row r="195" ht="12.75" customHeight="1">
      <c r="A195" s="3">
        <v>93.0</v>
      </c>
      <c r="B195" s="3">
        <v>-0.2718255698127</v>
      </c>
      <c r="C195" s="3"/>
      <c r="D195" s="3">
        <v>0.73121338360866</v>
      </c>
      <c r="E195" s="3">
        <v>-0.3827178779154</v>
      </c>
      <c r="F195" s="3">
        <v>2.47970219095995</v>
      </c>
      <c r="G195" s="4">
        <v>3.3363941974E-4</v>
      </c>
      <c r="H195" s="5">
        <f t="shared" si="1"/>
        <v>2.828531336</v>
      </c>
      <c r="I195" s="3">
        <v>-0.3427004918827</v>
      </c>
      <c r="J195" s="6">
        <f t="shared" si="2"/>
        <v>2.868548722</v>
      </c>
      <c r="K195" s="6">
        <f t="shared" si="3"/>
        <v>0.0002868548722</v>
      </c>
      <c r="L195" s="6">
        <f t="shared" si="4"/>
        <v>1.014147761</v>
      </c>
      <c r="M195" s="6">
        <f t="shared" si="5"/>
        <v>0.8954389425</v>
      </c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AA195" s="3">
        <v>3.0</v>
      </c>
      <c r="AB195" s="3">
        <v>-2.0</v>
      </c>
      <c r="AC195" s="3">
        <v>7582.46960161</v>
      </c>
    </row>
    <row r="196" ht="12.75" customHeight="1">
      <c r="A196" s="3">
        <v>94.0</v>
      </c>
      <c r="B196" s="3">
        <v>0.08240332403339</v>
      </c>
      <c r="C196" s="3"/>
      <c r="D196" s="3">
        <v>0.77198082769178</v>
      </c>
      <c r="E196" s="3">
        <v>-0.3739222879704</v>
      </c>
      <c r="F196" s="3">
        <v>2.16093059293612</v>
      </c>
      <c r="G196" s="4">
        <v>3.3673967162E-4</v>
      </c>
      <c r="H196" s="5">
        <f t="shared" si="1"/>
        <v>2.559325872</v>
      </c>
      <c r="I196" s="3">
        <v>-0.3362646723718</v>
      </c>
      <c r="J196" s="6">
        <f t="shared" si="2"/>
        <v>2.596983488</v>
      </c>
      <c r="K196" s="6">
        <f t="shared" si="3"/>
        <v>0.0002596983488</v>
      </c>
      <c r="L196" s="6">
        <f t="shared" si="4"/>
        <v>1.014713881</v>
      </c>
      <c r="M196" s="6">
        <f t="shared" si="5"/>
        <v>0.8992902621</v>
      </c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AA196" s="3">
        <v>3.0</v>
      </c>
      <c r="AB196" s="3">
        <v>-1.0</v>
      </c>
      <c r="AC196" s="3">
        <v>6472.76150218</v>
      </c>
    </row>
    <row r="197" ht="12.75" customHeight="1">
      <c r="A197" s="3">
        <v>95.0</v>
      </c>
      <c r="B197" s="3">
        <v>0.41993860997397</v>
      </c>
      <c r="C197" s="3"/>
      <c r="D197" s="3">
        <v>0.82230821764682</v>
      </c>
      <c r="E197" s="3">
        <v>-0.3722136737302</v>
      </c>
      <c r="F197" s="3">
        <v>1.90607987705252</v>
      </c>
      <c r="G197" s="4">
        <v>3.4624656074E-4</v>
      </c>
      <c r="H197" s="5">
        <f t="shared" si="1"/>
        <v>2.356520668</v>
      </c>
      <c r="I197" s="3">
        <v>-0.3360765288446</v>
      </c>
      <c r="J197" s="6">
        <f t="shared" si="2"/>
        <v>2.392657812</v>
      </c>
      <c r="K197" s="6">
        <f t="shared" si="3"/>
        <v>0.0002392657812</v>
      </c>
      <c r="L197" s="6">
        <f t="shared" si="4"/>
        <v>1.015334958</v>
      </c>
      <c r="M197" s="6">
        <f t="shared" si="5"/>
        <v>0.9029129034</v>
      </c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AA197" s="3">
        <v>3.0</v>
      </c>
      <c r="AB197" s="3">
        <v>0.0</v>
      </c>
      <c r="AC197" s="3">
        <v>6985.88593879</v>
      </c>
    </row>
    <row r="198" ht="12.75" customHeight="1">
      <c r="A198" s="3">
        <v>96.0</v>
      </c>
      <c r="B198" s="3">
        <v>0.71642695495081</v>
      </c>
      <c r="C198" s="3"/>
      <c r="D198" s="3">
        <v>0.87529774501319</v>
      </c>
      <c r="E198" s="3">
        <v>-0.3757212965522</v>
      </c>
      <c r="F198" s="3">
        <v>1.71836971404012</v>
      </c>
      <c r="G198" s="4">
        <v>3.6042072664E-4</v>
      </c>
      <c r="H198" s="5">
        <f t="shared" si="1"/>
        <v>2.218306583</v>
      </c>
      <c r="I198" s="3">
        <v>-0.3403576972795</v>
      </c>
      <c r="J198" s="6">
        <f t="shared" si="2"/>
        <v>2.253670183</v>
      </c>
      <c r="K198" s="6">
        <f t="shared" si="3"/>
        <v>0.0002253670183</v>
      </c>
      <c r="L198" s="6">
        <f t="shared" si="4"/>
        <v>1.01594171</v>
      </c>
      <c r="M198" s="6">
        <f t="shared" si="5"/>
        <v>0.9058781081</v>
      </c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AA198" s="3">
        <v>3.0</v>
      </c>
      <c r="AB198" s="3">
        <v>1.0</v>
      </c>
      <c r="AC198" s="3">
        <v>7042.75982976</v>
      </c>
    </row>
    <row r="199" ht="12.75" customHeight="1">
      <c r="A199" s="3">
        <v>97.0</v>
      </c>
      <c r="B199" s="3">
        <v>0.96777968918574</v>
      </c>
      <c r="C199" s="3"/>
      <c r="D199" s="3">
        <v>0.9255782981468</v>
      </c>
      <c r="E199" s="3">
        <v>-0.3818357769367</v>
      </c>
      <c r="F199" s="3">
        <v>1.58285108698306</v>
      </c>
      <c r="G199" s="4">
        <v>3.7934054542E-4</v>
      </c>
      <c r="H199" s="5">
        <f t="shared" si="1"/>
        <v>2.126972949</v>
      </c>
      <c r="I199" s="3">
        <v>-0.3467518865587</v>
      </c>
      <c r="J199" s="6">
        <f t="shared" si="2"/>
        <v>2.162056839</v>
      </c>
      <c r="K199" s="6">
        <f t="shared" si="3"/>
        <v>0.0002162056839</v>
      </c>
      <c r="L199" s="6">
        <f t="shared" si="4"/>
        <v>1.016494752</v>
      </c>
      <c r="M199" s="6">
        <f t="shared" si="5"/>
        <v>0.9081178546</v>
      </c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AA199" s="3">
        <v>3.0</v>
      </c>
      <c r="AB199" s="3">
        <v>2.0</v>
      </c>
      <c r="AC199" s="3">
        <v>7334.95886191</v>
      </c>
    </row>
    <row r="200" ht="12.75" customHeight="1">
      <c r="A200" s="3">
        <v>98.0</v>
      </c>
      <c r="B200" s="3">
        <v>1.16822501369105</v>
      </c>
      <c r="C200" s="3"/>
      <c r="D200" s="3">
        <v>0.96813685786207</v>
      </c>
      <c r="E200" s="3">
        <v>-0.3883332104879</v>
      </c>
      <c r="F200" s="3">
        <v>1.48867405170626</v>
      </c>
      <c r="G200" s="4">
        <v>3.9830471699E-4</v>
      </c>
      <c r="H200" s="5">
        <f t="shared" si="1"/>
        <v>2.068876004</v>
      </c>
      <c r="I200" s="3">
        <v>-0.353247560251</v>
      </c>
      <c r="J200" s="6">
        <f t="shared" si="2"/>
        <v>2.103961654</v>
      </c>
      <c r="K200" s="6">
        <f t="shared" si="3"/>
        <v>0.0002103961654</v>
      </c>
      <c r="L200" s="6">
        <f t="shared" si="4"/>
        <v>1.016958798</v>
      </c>
      <c r="M200" s="6">
        <f t="shared" si="5"/>
        <v>0.9096506575</v>
      </c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AA200" s="3">
        <v>3.0</v>
      </c>
      <c r="AB200" s="3">
        <v>3.0</v>
      </c>
      <c r="AC200" s="3">
        <v>8226.48249952</v>
      </c>
    </row>
    <row r="201" ht="12.75" customHeight="1">
      <c r="A201" s="3">
        <v>99.0</v>
      </c>
      <c r="B201" s="3">
        <v>1.32560587112414</v>
      </c>
      <c r="C201" s="3"/>
      <c r="D201" s="3">
        <v>1.00190197549888</v>
      </c>
      <c r="E201" s="3">
        <v>-0.3939659299632</v>
      </c>
      <c r="F201" s="3">
        <v>1.42191596546157</v>
      </c>
      <c r="G201" s="4">
        <v>4.1637395171E-4</v>
      </c>
      <c r="H201" s="5">
        <f t="shared" si="1"/>
        <v>2.030268385</v>
      </c>
      <c r="I201" s="3">
        <v>-0.358763274977</v>
      </c>
      <c r="J201" s="6">
        <f t="shared" si="2"/>
        <v>2.06547104</v>
      </c>
      <c r="K201" s="6">
        <f t="shared" si="3"/>
        <v>0.000206547104</v>
      </c>
      <c r="L201" s="6">
        <f t="shared" si="4"/>
        <v>1.017338917</v>
      </c>
      <c r="M201" s="6">
        <f t="shared" si="5"/>
        <v>0.9106454332</v>
      </c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AA201" s="3">
        <v>3.0</v>
      </c>
      <c r="AB201" s="3">
        <v>4.0</v>
      </c>
      <c r="AC201" s="3">
        <v>10114.8142122</v>
      </c>
    </row>
    <row r="202" ht="12.75" customHeight="1">
      <c r="A202" s="3">
        <v>100.0</v>
      </c>
      <c r="B202" s="3">
        <v>1.44602472380084</v>
      </c>
      <c r="C202" s="3"/>
      <c r="D202" s="3">
        <v>1.02647890329309</v>
      </c>
      <c r="E202" s="3">
        <v>-0.3979789036831</v>
      </c>
      <c r="F202" s="3">
        <v>1.37304187990215</v>
      </c>
      <c r="G202" s="4">
        <v>4.3256662267E-4</v>
      </c>
      <c r="H202" s="5">
        <f t="shared" si="1"/>
        <v>2.001974446</v>
      </c>
      <c r="I202" s="3">
        <v>-0.3626533807119</v>
      </c>
      <c r="J202" s="6">
        <f t="shared" si="2"/>
        <v>2.037299969</v>
      </c>
      <c r="K202" s="6">
        <f t="shared" si="3"/>
        <v>0.0002037299969</v>
      </c>
      <c r="L202" s="6">
        <f t="shared" si="4"/>
        <v>1.017645342</v>
      </c>
      <c r="M202" s="6">
        <f t="shared" si="5"/>
        <v>0.9112376997</v>
      </c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AA202" s="3">
        <v>3.0</v>
      </c>
      <c r="AB202" s="3">
        <v>5.0</v>
      </c>
      <c r="AC202" s="3">
        <v>13093.6961862</v>
      </c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AA203" s="3">
        <v>3.0</v>
      </c>
      <c r="AB203" s="3">
        <v>6.0</v>
      </c>
      <c r="AC203" s="3">
        <v>20797.1927247</v>
      </c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AA204" s="3">
        <v>3.0</v>
      </c>
      <c r="AB204" s="3">
        <v>7.0</v>
      </c>
      <c r="AC204" s="3">
        <v>26684.0643854</v>
      </c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AA205" s="3">
        <v>3.0</v>
      </c>
      <c r="AB205" s="3">
        <v>8.0</v>
      </c>
      <c r="AC205" s="3">
        <v>34028.7813516</v>
      </c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AA206" s="3">
        <v>4.0</v>
      </c>
      <c r="AB206" s="3">
        <v>-8.0</v>
      </c>
      <c r="AC206" s="3">
        <v>34382.1706502</v>
      </c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AA207" s="3">
        <v>4.0</v>
      </c>
      <c r="AB207" s="3">
        <v>-7.0</v>
      </c>
      <c r="AC207" s="3">
        <v>26516.362715</v>
      </c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AA208" s="3">
        <v>4.0</v>
      </c>
      <c r="AB208" s="3">
        <v>-6.0</v>
      </c>
      <c r="AC208" s="3">
        <v>24053.3774733</v>
      </c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AA209" s="3">
        <v>4.0</v>
      </c>
      <c r="AB209" s="3">
        <v>-5.0</v>
      </c>
      <c r="AC209" s="3">
        <v>18731.0686673</v>
      </c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AA210" s="3">
        <v>4.0</v>
      </c>
      <c r="AB210" s="3">
        <v>-4.0</v>
      </c>
      <c r="AC210" s="3">
        <v>14650.0463101</v>
      </c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AA211" s="3">
        <v>4.0</v>
      </c>
      <c r="AB211" s="3">
        <v>-3.0</v>
      </c>
      <c r="AC211" s="3">
        <v>11571.0072433</v>
      </c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AA212" s="3">
        <v>4.0</v>
      </c>
      <c r="AB212" s="3">
        <v>-2.0</v>
      </c>
      <c r="AC212" s="3">
        <v>9324.27237916</v>
      </c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AA213" s="3">
        <v>4.0</v>
      </c>
      <c r="AB213" s="3">
        <v>-1.0</v>
      </c>
      <c r="AC213" s="3">
        <v>7931.05857903</v>
      </c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AA214" s="3">
        <v>4.0</v>
      </c>
      <c r="AB214" s="3">
        <v>0.0</v>
      </c>
      <c r="AC214" s="3">
        <v>9085.50277375</v>
      </c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AA215" s="3">
        <v>4.0</v>
      </c>
      <c r="AB215" s="3">
        <v>1.0</v>
      </c>
      <c r="AC215" s="3">
        <v>9172.98912365</v>
      </c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AA216" s="3">
        <v>4.0</v>
      </c>
      <c r="AB216" s="3">
        <v>2.0</v>
      </c>
      <c r="AC216" s="3">
        <v>9696.43173926</v>
      </c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AA217" s="3">
        <v>4.0</v>
      </c>
      <c r="AB217" s="3">
        <v>3.0</v>
      </c>
      <c r="AC217" s="3">
        <v>10745.868654</v>
      </c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AA218" s="3">
        <v>4.0</v>
      </c>
      <c r="AB218" s="3">
        <v>4.0</v>
      </c>
      <c r="AC218" s="3">
        <v>12666.5224012</v>
      </c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AA219" s="3">
        <v>4.0</v>
      </c>
      <c r="AB219" s="3">
        <v>5.0</v>
      </c>
      <c r="AC219" s="3">
        <v>15715.1394516</v>
      </c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AA220" s="3">
        <v>4.0</v>
      </c>
      <c r="AB220" s="3">
        <v>6.0</v>
      </c>
      <c r="AC220" s="3">
        <v>20260.7754379</v>
      </c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AA221" s="3">
        <v>4.0</v>
      </c>
      <c r="AB221" s="3">
        <v>7.0</v>
      </c>
      <c r="AC221" s="3">
        <v>31153.5907465</v>
      </c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AA222" s="3">
        <v>4.0</v>
      </c>
      <c r="AB222" s="3">
        <v>8.0</v>
      </c>
      <c r="AC222" s="3">
        <v>39747.4545376</v>
      </c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AA223" s="3">
        <v>5.0</v>
      </c>
      <c r="AB223" s="3">
        <v>-8.0</v>
      </c>
      <c r="AC223" s="3">
        <v>45981.3825634</v>
      </c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AA224" s="3">
        <v>5.0</v>
      </c>
      <c r="AB224" s="3">
        <v>-7.0</v>
      </c>
      <c r="AC224" s="3">
        <v>35837.6398481</v>
      </c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AA225" s="3">
        <v>5.0</v>
      </c>
      <c r="AB225" s="3">
        <v>-6.0</v>
      </c>
      <c r="AC225" s="3">
        <v>27620.5536921</v>
      </c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AA226" s="3">
        <v>5.0</v>
      </c>
      <c r="AB226" s="3">
        <v>-5.0</v>
      </c>
      <c r="AC226" s="3">
        <v>21760.3285818</v>
      </c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AA227" s="3">
        <v>5.0</v>
      </c>
      <c r="AB227" s="3">
        <v>-4.0</v>
      </c>
      <c r="AC227" s="3">
        <v>17476.7685686</v>
      </c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AA228" s="3">
        <v>5.0</v>
      </c>
      <c r="AB228" s="3">
        <v>-3.0</v>
      </c>
      <c r="AC228" s="3">
        <v>14319.0871132</v>
      </c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AA229" s="3">
        <v>5.0</v>
      </c>
      <c r="AB229" s="3">
        <v>-2.0</v>
      </c>
      <c r="AC229" s="3">
        <v>12004.9316484</v>
      </c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AA230" s="3">
        <v>5.0</v>
      </c>
      <c r="AB230" s="3">
        <v>-1.0</v>
      </c>
      <c r="AC230" s="3">
        <v>10547.9471298</v>
      </c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AA231" s="3">
        <v>5.0</v>
      </c>
      <c r="AB231" s="3">
        <v>0.0</v>
      </c>
      <c r="AC231" s="3">
        <v>12390.5679841</v>
      </c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AA232" s="3">
        <v>5.0</v>
      </c>
      <c r="AB232" s="3">
        <v>1.0</v>
      </c>
      <c r="AC232" s="3">
        <v>12466.5751354</v>
      </c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AA233" s="3">
        <v>5.0</v>
      </c>
      <c r="AB233" s="3">
        <v>2.0</v>
      </c>
      <c r="AC233" s="3">
        <v>13064.0808774</v>
      </c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AA234" s="3">
        <v>5.0</v>
      </c>
      <c r="AB234" s="3">
        <v>3.0</v>
      </c>
      <c r="AC234" s="3">
        <v>14206.6089654</v>
      </c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AA235" s="3">
        <v>5.0</v>
      </c>
      <c r="AB235" s="3">
        <v>4.0</v>
      </c>
      <c r="AC235" s="3">
        <v>16103.9531812</v>
      </c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AA236" s="3">
        <v>5.0</v>
      </c>
      <c r="AB236" s="3">
        <v>5.0</v>
      </c>
      <c r="AC236" s="3">
        <v>19259.4420349</v>
      </c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AA237" s="3">
        <v>5.0</v>
      </c>
      <c r="AB237" s="3">
        <v>6.0</v>
      </c>
      <c r="AC237" s="3">
        <v>24155.5045384</v>
      </c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AA238" s="3">
        <v>5.0</v>
      </c>
      <c r="AB238" s="3">
        <v>7.0</v>
      </c>
      <c r="AC238" s="3">
        <v>31233.604953</v>
      </c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AA239" s="3">
        <v>5.0</v>
      </c>
      <c r="AB239" s="3">
        <v>8.0</v>
      </c>
      <c r="AC239" s="3">
        <v>40123.581853</v>
      </c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AA240" s="3">
        <v>6.0</v>
      </c>
      <c r="AB240" s="3">
        <v>-8.0</v>
      </c>
      <c r="AC240" s="3">
        <v>56616.4866712</v>
      </c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AA241" s="3">
        <v>6.0</v>
      </c>
      <c r="AB241" s="3">
        <v>-7.0</v>
      </c>
      <c r="AC241" s="3">
        <v>41010.2518808</v>
      </c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AA242" s="3">
        <v>6.0</v>
      </c>
      <c r="AB242" s="3">
        <v>-6.0</v>
      </c>
      <c r="AC242" s="3">
        <v>30917.070283</v>
      </c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AA243" s="3">
        <v>6.0</v>
      </c>
      <c r="AB243" s="3">
        <v>-5.0</v>
      </c>
      <c r="AC243" s="3">
        <v>24716.470807</v>
      </c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AA244" s="3">
        <v>6.0</v>
      </c>
      <c r="AB244" s="3">
        <v>-4.0</v>
      </c>
      <c r="AC244" s="3">
        <v>20629.6572997</v>
      </c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AA245" s="3">
        <v>6.0</v>
      </c>
      <c r="AB245" s="3">
        <v>-3.0</v>
      </c>
      <c r="AC245" s="3">
        <v>17749.8051895</v>
      </c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AA246" s="3">
        <v>6.0</v>
      </c>
      <c r="AB246" s="3">
        <v>-2.0</v>
      </c>
      <c r="AC246" s="3">
        <v>15634.9788672</v>
      </c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AA247" s="3">
        <v>6.0</v>
      </c>
      <c r="AB247" s="3">
        <v>-1.0</v>
      </c>
      <c r="AC247" s="3">
        <v>14269.4483408</v>
      </c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AA248" s="3">
        <v>6.0</v>
      </c>
      <c r="AB248" s="3">
        <v>0.0</v>
      </c>
      <c r="AC248" s="3">
        <v>16905.8534314</v>
      </c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AA249" s="3">
        <v>6.0</v>
      </c>
      <c r="AB249" s="3">
        <v>1.0</v>
      </c>
      <c r="AC249" s="3">
        <v>16943.8518581</v>
      </c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AA250" s="3">
        <v>6.0</v>
      </c>
      <c r="AB250" s="3">
        <v>2.0</v>
      </c>
      <c r="AC250" s="3">
        <v>17430.4897961</v>
      </c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AA251" s="3">
        <v>6.0</v>
      </c>
      <c r="AB251" s="3">
        <v>3.0</v>
      </c>
      <c r="AC251" s="3">
        <v>18339.3286436</v>
      </c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AA252" s="3">
        <v>6.0</v>
      </c>
      <c r="AB252" s="3">
        <v>4.0</v>
      </c>
      <c r="AC252" s="3">
        <v>19959.8276058</v>
      </c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AA253" s="3">
        <v>6.0</v>
      </c>
      <c r="AB253" s="3">
        <v>5.0</v>
      </c>
      <c r="AC253" s="3">
        <v>22848.2052758</v>
      </c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AA254" s="3">
        <v>6.0</v>
      </c>
      <c r="AB254" s="3">
        <v>6.0</v>
      </c>
      <c r="AC254" s="3">
        <v>28062.9739836</v>
      </c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AA255" s="3">
        <v>6.0</v>
      </c>
      <c r="AB255" s="3">
        <v>7.0</v>
      </c>
      <c r="AC255" s="3">
        <v>37071.1473382</v>
      </c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AA256" s="3">
        <v>6.0</v>
      </c>
      <c r="AB256" s="3">
        <v>8.0</v>
      </c>
      <c r="AC256" s="3">
        <v>50851.083905</v>
      </c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AA257" s="3">
        <v>7.0</v>
      </c>
      <c r="AB257" s="3">
        <v>-8.0</v>
      </c>
      <c r="AC257" s="3">
        <v>42998.4063994</v>
      </c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AA258" s="3">
        <v>7.0</v>
      </c>
      <c r="AB258" s="3">
        <v>-7.0</v>
      </c>
      <c r="AC258" s="3">
        <v>41342.6747272</v>
      </c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AA259" s="3">
        <v>7.0</v>
      </c>
      <c r="AB259" s="3">
        <v>-6.0</v>
      </c>
      <c r="AC259" s="3">
        <v>32082.2867599</v>
      </c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AA260" s="3">
        <v>7.0</v>
      </c>
      <c r="AB260" s="3">
        <v>-5.0</v>
      </c>
      <c r="AC260" s="3">
        <v>26944.3178902</v>
      </c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AA261" s="3">
        <v>7.0</v>
      </c>
      <c r="AB261" s="3">
        <v>-4.0</v>
      </c>
      <c r="AC261" s="3">
        <v>23766.5240225</v>
      </c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AA262" s="3">
        <v>7.0</v>
      </c>
      <c r="AB262" s="3">
        <v>-3.0</v>
      </c>
      <c r="AC262" s="3">
        <v>21795.6927958</v>
      </c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AA263" s="3">
        <v>7.0</v>
      </c>
      <c r="AB263" s="3">
        <v>-2.0</v>
      </c>
      <c r="AC263" s="3">
        <v>20344.7951069</v>
      </c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AA264" s="3">
        <v>7.0</v>
      </c>
      <c r="AB264" s="3">
        <v>-1.0</v>
      </c>
      <c r="AC264" s="3">
        <v>19343.9190018</v>
      </c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AA265" s="3">
        <v>7.0</v>
      </c>
      <c r="AB265" s="3">
        <v>0.0</v>
      </c>
      <c r="AC265" s="3">
        <v>22805.7815213</v>
      </c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AA266" s="3">
        <v>7.0</v>
      </c>
      <c r="AB266" s="3">
        <v>1.0</v>
      </c>
      <c r="AC266" s="3">
        <v>22729.8212334</v>
      </c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AA267" s="3">
        <v>7.0</v>
      </c>
      <c r="AB267" s="3">
        <v>2.0</v>
      </c>
      <c r="AC267" s="3">
        <v>22779.6718283</v>
      </c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AA268" s="3">
        <v>7.0</v>
      </c>
      <c r="AB268" s="3">
        <v>3.0</v>
      </c>
      <c r="AC268" s="3">
        <v>22994.764155</v>
      </c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AA269" s="3">
        <v>7.0</v>
      </c>
      <c r="AB269" s="3">
        <v>4.0</v>
      </c>
      <c r="AC269" s="3">
        <v>23794.3401041</v>
      </c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AA270" s="3">
        <v>7.0</v>
      </c>
      <c r="AB270" s="3">
        <v>5.0</v>
      </c>
      <c r="AC270" s="3">
        <v>25922.2645969</v>
      </c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AA271" s="3">
        <v>7.0</v>
      </c>
      <c r="AB271" s="3">
        <v>6.0</v>
      </c>
      <c r="AC271" s="3">
        <v>30455.7634189</v>
      </c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AA272" s="3">
        <v>7.0</v>
      </c>
      <c r="AB272" s="3">
        <v>7.0</v>
      </c>
      <c r="AC272" s="3">
        <v>39912.9245079</v>
      </c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AA273" s="3">
        <v>7.0</v>
      </c>
      <c r="AB273" s="3">
        <v>8.0</v>
      </c>
      <c r="AC273" s="3">
        <v>42215.389286</v>
      </c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AA274" s="3">
        <v>8.0</v>
      </c>
      <c r="AB274" s="3">
        <v>-8.0</v>
      </c>
      <c r="AC274" s="3">
        <v>25396.1372608</v>
      </c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AA275" s="3">
        <v>8.0</v>
      </c>
      <c r="AB275" s="3">
        <v>-7.0</v>
      </c>
      <c r="AC275" s="3">
        <v>36145.1641309</v>
      </c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AA276" s="3">
        <v>8.0</v>
      </c>
      <c r="AB276" s="3">
        <v>-6.0</v>
      </c>
      <c r="AC276" s="3">
        <v>30320.3215118</v>
      </c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AA277" s="3">
        <v>8.0</v>
      </c>
      <c r="AB277" s="3">
        <v>-5.0</v>
      </c>
      <c r="AC277" s="3">
        <v>27280.1232934</v>
      </c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AA278" s="3">
        <v>8.0</v>
      </c>
      <c r="AB278" s="3">
        <v>-4.0</v>
      </c>
      <c r="AC278" s="3">
        <v>26641.3301575</v>
      </c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AA279" s="3">
        <v>8.0</v>
      </c>
      <c r="AB279" s="3">
        <v>-3.0</v>
      </c>
      <c r="AC279" s="3">
        <v>26521.0417339</v>
      </c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AA280" s="3">
        <v>8.0</v>
      </c>
      <c r="AB280" s="3">
        <v>-2.0</v>
      </c>
      <c r="AC280" s="3">
        <v>26654.8345973</v>
      </c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AA281" s="3">
        <v>8.0</v>
      </c>
      <c r="AB281" s="3">
        <v>-1.0</v>
      </c>
      <c r="AC281" s="3">
        <v>26254.0863755</v>
      </c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AA282" s="3">
        <v>8.0</v>
      </c>
      <c r="AB282" s="3">
        <v>0.0</v>
      </c>
      <c r="AC282" s="3">
        <v>30611.755916</v>
      </c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AA283" s="3">
        <v>8.0</v>
      </c>
      <c r="AB283" s="3">
        <v>1.0</v>
      </c>
      <c r="AC283" s="3">
        <v>30378.8505093</v>
      </c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AA284" s="3">
        <v>8.0</v>
      </c>
      <c r="AB284" s="3">
        <v>2.0</v>
      </c>
      <c r="AC284" s="3">
        <v>29572.5425414</v>
      </c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AA285" s="3">
        <v>8.0</v>
      </c>
      <c r="AB285" s="3">
        <v>3.0</v>
      </c>
      <c r="AC285" s="3">
        <v>28167.8496323</v>
      </c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AA286" s="3">
        <v>8.0</v>
      </c>
      <c r="AB286" s="3">
        <v>4.0</v>
      </c>
      <c r="AC286" s="3">
        <v>27183.857606</v>
      </c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AA287" s="3">
        <v>8.0</v>
      </c>
      <c r="AB287" s="3">
        <v>5.0</v>
      </c>
      <c r="AC287" s="3">
        <v>27141.782348</v>
      </c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AA288" s="3">
        <v>8.0</v>
      </c>
      <c r="AB288" s="3">
        <v>6.0</v>
      </c>
      <c r="AC288" s="3">
        <v>30100.8188853</v>
      </c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AA289" s="3">
        <v>8.0</v>
      </c>
      <c r="AB289" s="3">
        <v>7.0</v>
      </c>
      <c r="AC289" s="3">
        <v>35336.5685577</v>
      </c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AA290" s="3">
        <v>8.0</v>
      </c>
      <c r="AB290" s="3">
        <v>8.0</v>
      </c>
      <c r="AC290" s="3">
        <v>24475.706937</v>
      </c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AA291" s="3"/>
      <c r="AB291" s="3"/>
      <c r="AC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AA292" s="3"/>
      <c r="AB292" s="3"/>
      <c r="AC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AA293" s="3"/>
      <c r="AB293" s="3"/>
      <c r="AC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AA294" s="3"/>
      <c r="AB294" s="3"/>
      <c r="AC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AA295" s="3"/>
      <c r="AB295" s="3"/>
      <c r="AC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AA296" s="3"/>
      <c r="AB296" s="3"/>
      <c r="AC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AA297" s="3"/>
      <c r="AB297" s="3"/>
      <c r="AC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AA298" s="3"/>
      <c r="AB298" s="3"/>
      <c r="AC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AA299" s="3"/>
      <c r="AB299" s="3"/>
      <c r="AC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AA300" s="3"/>
      <c r="AB300" s="3"/>
      <c r="AC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AA301" s="3"/>
      <c r="AB301" s="3"/>
      <c r="AC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AA302" s="3"/>
      <c r="AB302" s="3"/>
      <c r="AC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AA303" s="3"/>
      <c r="AB303" s="3"/>
      <c r="AC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AA304" s="3"/>
      <c r="AB304" s="3"/>
      <c r="AC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AA305" s="3"/>
      <c r="AB305" s="3"/>
      <c r="AC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AA306" s="3"/>
      <c r="AB306" s="3"/>
      <c r="AC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AA307" s="3"/>
      <c r="AB307" s="3"/>
      <c r="AC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AA308" s="3"/>
      <c r="AB308" s="3"/>
      <c r="AC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AA309" s="3"/>
      <c r="AB309" s="3"/>
      <c r="AC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AA310" s="3"/>
      <c r="AB310" s="3"/>
      <c r="AC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AA311" s="3"/>
      <c r="AB311" s="3"/>
      <c r="AC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AA312" s="3"/>
      <c r="AB312" s="3"/>
      <c r="AC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AA313" s="3"/>
      <c r="AB313" s="3"/>
      <c r="AC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AA314" s="3"/>
      <c r="AB314" s="3"/>
      <c r="AC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AA315" s="3"/>
      <c r="AB315" s="3"/>
      <c r="AC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AA316" s="3"/>
      <c r="AB316" s="3"/>
      <c r="AC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AA317" s="3"/>
      <c r="AB317" s="3"/>
      <c r="AC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AA318" s="3"/>
      <c r="AB318" s="3"/>
      <c r="AC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AA319" s="3"/>
      <c r="AB319" s="3"/>
      <c r="AC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AA320" s="3"/>
      <c r="AB320" s="3"/>
      <c r="AC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AA321" s="3"/>
      <c r="AB321" s="3"/>
      <c r="AC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AA322" s="3"/>
      <c r="AB322" s="3"/>
      <c r="AC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AA323" s="3"/>
      <c r="AB323" s="3"/>
      <c r="AC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AA324" s="3"/>
      <c r="AB324" s="3"/>
      <c r="AC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AA325" s="3"/>
      <c r="AB325" s="3"/>
      <c r="AC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AA326" s="3"/>
      <c r="AB326" s="3"/>
      <c r="AC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AA327" s="3"/>
      <c r="AB327" s="3"/>
      <c r="AC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AA328" s="3"/>
      <c r="AB328" s="3"/>
      <c r="AC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AA329" s="3"/>
      <c r="AB329" s="3"/>
      <c r="AC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AA330" s="3"/>
      <c r="AB330" s="3"/>
      <c r="AC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AA331" s="3"/>
      <c r="AB331" s="3"/>
      <c r="AC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AA332" s="3"/>
      <c r="AB332" s="3"/>
      <c r="AC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AA333" s="3"/>
      <c r="AB333" s="3"/>
      <c r="AC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AA334" s="3"/>
      <c r="AB334" s="3"/>
      <c r="AC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AA335" s="3"/>
      <c r="AB335" s="3"/>
      <c r="AC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AA336" s="3"/>
      <c r="AB336" s="3"/>
      <c r="AC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AA337" s="3"/>
      <c r="AB337" s="3"/>
      <c r="AC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AA338" s="3"/>
      <c r="AB338" s="3"/>
      <c r="AC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AA339" s="3"/>
      <c r="AB339" s="3"/>
      <c r="AC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AA340" s="3"/>
      <c r="AB340" s="3"/>
      <c r="AC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AA341" s="3"/>
      <c r="AB341" s="3"/>
      <c r="AC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AA342" s="3"/>
      <c r="AB342" s="3"/>
      <c r="AC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AA343" s="3"/>
      <c r="AB343" s="3"/>
      <c r="AC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AA344" s="3"/>
      <c r="AB344" s="3"/>
      <c r="AC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AA345" s="3"/>
      <c r="AB345" s="3"/>
      <c r="AC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AA346" s="3"/>
      <c r="AB346" s="3"/>
      <c r="AC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AA347" s="3"/>
      <c r="AB347" s="3"/>
      <c r="AC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AA348" s="3"/>
      <c r="AB348" s="3"/>
      <c r="AC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AA349" s="3"/>
      <c r="AB349" s="3"/>
      <c r="AC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AA350" s="3"/>
      <c r="AB350" s="3"/>
      <c r="AC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AA351" s="3"/>
      <c r="AB351" s="3"/>
      <c r="AC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AA352" s="3"/>
      <c r="AB352" s="3"/>
      <c r="AC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AA353" s="3"/>
      <c r="AB353" s="3"/>
      <c r="AC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AA354" s="3"/>
      <c r="AB354" s="3"/>
      <c r="AC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AA355" s="3"/>
      <c r="AB355" s="3"/>
      <c r="AC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AA356" s="3"/>
      <c r="AB356" s="3"/>
      <c r="AC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AA357" s="3"/>
      <c r="AB357" s="3"/>
      <c r="AC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AA358" s="3"/>
      <c r="AB358" s="3"/>
      <c r="AC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AA359" s="3"/>
      <c r="AB359" s="3"/>
      <c r="AC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AA360" s="3"/>
      <c r="AB360" s="3"/>
      <c r="AC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AA361" s="3"/>
      <c r="AB361" s="3"/>
      <c r="AC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AA362" s="3"/>
      <c r="AB362" s="3"/>
      <c r="AC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AA363" s="3"/>
      <c r="AB363" s="3"/>
      <c r="AC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AA364" s="3"/>
      <c r="AB364" s="3"/>
      <c r="AC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AA365" s="3"/>
      <c r="AB365" s="3"/>
      <c r="AC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AA366" s="3"/>
      <c r="AB366" s="3"/>
      <c r="AC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AA367" s="3"/>
      <c r="AB367" s="3"/>
      <c r="AC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AA368" s="3"/>
      <c r="AB368" s="3"/>
      <c r="AC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AA369" s="3"/>
      <c r="AB369" s="3"/>
      <c r="AC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AA370" s="3"/>
      <c r="AB370" s="3"/>
      <c r="AC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AA371" s="3"/>
      <c r="AB371" s="3"/>
      <c r="AC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AA372" s="3"/>
      <c r="AB372" s="3"/>
      <c r="AC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AA373" s="3"/>
      <c r="AB373" s="3"/>
      <c r="AC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AA374" s="3"/>
      <c r="AB374" s="3"/>
      <c r="AC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AA375" s="3"/>
      <c r="AB375" s="3"/>
      <c r="AC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AA376" s="3"/>
      <c r="AB376" s="3"/>
      <c r="AC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AA377" s="3"/>
      <c r="AB377" s="3"/>
      <c r="AC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AA378" s="3"/>
      <c r="AB378" s="3"/>
      <c r="AC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AA379" s="3"/>
      <c r="AB379" s="3"/>
      <c r="AC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AA380" s="3"/>
      <c r="AB380" s="3"/>
      <c r="AC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AA381" s="3"/>
      <c r="AB381" s="3"/>
      <c r="AC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AA382" s="3"/>
      <c r="AB382" s="3"/>
      <c r="AC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AA383" s="3"/>
      <c r="AB383" s="3"/>
      <c r="AC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AA384" s="3"/>
      <c r="AB384" s="3"/>
      <c r="AC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AA385" s="3"/>
      <c r="AB385" s="3"/>
      <c r="AC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AA386" s="3"/>
      <c r="AB386" s="3"/>
      <c r="AC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AA387" s="3"/>
      <c r="AB387" s="3"/>
      <c r="AC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AA388" s="3"/>
      <c r="AB388" s="3"/>
      <c r="AC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AA389" s="3"/>
      <c r="AB389" s="3"/>
      <c r="AC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AA390" s="3"/>
      <c r="AB390" s="3"/>
      <c r="AC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AA391" s="3"/>
      <c r="AB391" s="3"/>
      <c r="AC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AA392" s="3"/>
      <c r="AB392" s="3"/>
      <c r="AC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AA393" s="3"/>
      <c r="AB393" s="3"/>
      <c r="AC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AA394" s="3"/>
      <c r="AB394" s="3"/>
      <c r="AC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AA395" s="3"/>
      <c r="AB395" s="3"/>
      <c r="AC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AA396" s="3"/>
      <c r="AB396" s="3"/>
      <c r="AC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AA397" s="3"/>
      <c r="AB397" s="3"/>
      <c r="AC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AA398" s="3"/>
      <c r="AB398" s="3"/>
      <c r="AC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AA399" s="3"/>
      <c r="AB399" s="3"/>
      <c r="AC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AA400" s="3"/>
      <c r="AB400" s="3"/>
      <c r="AC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AA401" s="3"/>
      <c r="AB401" s="3"/>
      <c r="AC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AA402" s="3"/>
      <c r="AB402" s="3"/>
      <c r="AC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AA403" s="3"/>
      <c r="AB403" s="3"/>
      <c r="AC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AA404" s="3"/>
      <c r="AB404" s="3"/>
      <c r="AC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AA405" s="3"/>
      <c r="AB405" s="3"/>
      <c r="AC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AA406" s="3"/>
      <c r="AB406" s="3"/>
      <c r="AC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AA407" s="3"/>
      <c r="AB407" s="3"/>
      <c r="AC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AA408" s="3"/>
      <c r="AB408" s="3"/>
      <c r="AC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AA409" s="3"/>
      <c r="AB409" s="3"/>
      <c r="AC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AA410" s="3"/>
      <c r="AB410" s="3"/>
      <c r="AC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AA411" s="3"/>
      <c r="AB411" s="3"/>
      <c r="AC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AA412" s="3"/>
      <c r="AB412" s="3"/>
      <c r="AC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AA413" s="3"/>
      <c r="AB413" s="3"/>
      <c r="AC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AA414" s="3"/>
      <c r="AB414" s="3"/>
      <c r="AC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AA415" s="3"/>
      <c r="AB415" s="3"/>
      <c r="AC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AA416" s="3"/>
      <c r="AB416" s="3"/>
      <c r="AC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AA417" s="3"/>
      <c r="AB417" s="3"/>
      <c r="AC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AA418" s="3"/>
      <c r="AB418" s="3"/>
      <c r="AC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AA419" s="3"/>
      <c r="AB419" s="3"/>
      <c r="AC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AA420" s="3"/>
      <c r="AB420" s="3"/>
      <c r="AC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AA421" s="3"/>
      <c r="AB421" s="3"/>
      <c r="AC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AA422" s="3"/>
      <c r="AB422" s="3"/>
      <c r="AC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AA423" s="3"/>
      <c r="AB423" s="3"/>
      <c r="AC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AA424" s="3"/>
      <c r="AB424" s="3"/>
      <c r="AC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AA425" s="3"/>
      <c r="AB425" s="3"/>
      <c r="AC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AA426" s="3"/>
      <c r="AB426" s="3"/>
      <c r="AC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AA427" s="3"/>
      <c r="AB427" s="3"/>
      <c r="AC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AA428" s="3"/>
      <c r="AB428" s="3"/>
      <c r="AC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AA429" s="3"/>
      <c r="AB429" s="3"/>
      <c r="AC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AA430" s="3"/>
      <c r="AB430" s="3"/>
      <c r="AC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AA431" s="3"/>
      <c r="AB431" s="3"/>
      <c r="AC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AA432" s="3"/>
      <c r="AB432" s="3"/>
      <c r="AC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AA433" s="3"/>
      <c r="AB433" s="3"/>
      <c r="AC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AA434" s="3"/>
      <c r="AB434" s="3"/>
      <c r="AC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AA435" s="3"/>
      <c r="AB435" s="3"/>
      <c r="AC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AA436" s="3"/>
      <c r="AB436" s="3"/>
      <c r="AC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AA437" s="3"/>
      <c r="AB437" s="3"/>
      <c r="AC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AA438" s="3"/>
      <c r="AB438" s="3"/>
      <c r="AC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AA439" s="3"/>
      <c r="AB439" s="3"/>
      <c r="AC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AA440" s="3"/>
      <c r="AB440" s="3"/>
      <c r="AC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AA441" s="3"/>
      <c r="AB441" s="3"/>
      <c r="AC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AA442" s="3"/>
      <c r="AB442" s="3"/>
      <c r="AC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AA443" s="3"/>
      <c r="AB443" s="3"/>
      <c r="AC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AA444" s="3"/>
      <c r="AB444" s="3"/>
      <c r="AC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AA445" s="3"/>
      <c r="AB445" s="3"/>
      <c r="AC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AA446" s="3"/>
      <c r="AB446" s="3"/>
      <c r="AC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AA447" s="3"/>
      <c r="AB447" s="3"/>
      <c r="AC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AA448" s="3"/>
      <c r="AB448" s="3"/>
      <c r="AC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AA449" s="3"/>
      <c r="AB449" s="3"/>
      <c r="AC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AA450" s="3"/>
      <c r="AB450" s="3"/>
      <c r="AC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AA451" s="3"/>
      <c r="AB451" s="3"/>
      <c r="AC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AA452" s="3"/>
      <c r="AB452" s="3"/>
      <c r="AC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AA453" s="3"/>
      <c r="AB453" s="3"/>
      <c r="AC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AA454" s="3"/>
      <c r="AB454" s="3"/>
      <c r="AC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AA455" s="3"/>
      <c r="AB455" s="3"/>
      <c r="AC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AA456" s="3"/>
      <c r="AB456" s="3"/>
      <c r="AC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AA457" s="3"/>
      <c r="AB457" s="3"/>
      <c r="AC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AA458" s="3"/>
      <c r="AB458" s="3"/>
      <c r="AC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AA459" s="3"/>
      <c r="AB459" s="3"/>
      <c r="AC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AA460" s="3"/>
      <c r="AB460" s="3"/>
      <c r="AC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AA461" s="3"/>
      <c r="AB461" s="3"/>
      <c r="AC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AA462" s="3"/>
      <c r="AB462" s="3"/>
      <c r="AC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AA463" s="3"/>
      <c r="AB463" s="3"/>
      <c r="AC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AA464" s="3"/>
      <c r="AB464" s="3"/>
      <c r="AC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AA465" s="3"/>
      <c r="AB465" s="3"/>
      <c r="AC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AA466" s="3"/>
      <c r="AB466" s="3"/>
      <c r="AC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AA467" s="3"/>
      <c r="AB467" s="3"/>
      <c r="AC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AA468" s="3"/>
      <c r="AB468" s="3"/>
      <c r="AC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AA469" s="3"/>
      <c r="AB469" s="3"/>
      <c r="AC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AA470" s="3"/>
      <c r="AB470" s="3"/>
      <c r="AC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AA471" s="3"/>
      <c r="AB471" s="3"/>
      <c r="AC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AA472" s="3"/>
      <c r="AB472" s="3"/>
      <c r="AC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AA473" s="3"/>
      <c r="AB473" s="3"/>
      <c r="AC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AA474" s="3"/>
      <c r="AB474" s="3"/>
      <c r="AC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AA475" s="3"/>
      <c r="AB475" s="3"/>
      <c r="AC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AA476" s="3"/>
      <c r="AB476" s="3"/>
      <c r="AC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AA477" s="3"/>
      <c r="AB477" s="3"/>
      <c r="AC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AA478" s="3"/>
      <c r="AB478" s="3"/>
      <c r="AC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AA479" s="3"/>
      <c r="AB479" s="3"/>
      <c r="AC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AA480" s="3"/>
      <c r="AB480" s="3"/>
      <c r="AC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AA481" s="3"/>
      <c r="AB481" s="3"/>
      <c r="AC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AA482" s="3"/>
      <c r="AB482" s="3"/>
      <c r="AC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AA483" s="3"/>
      <c r="AB483" s="3"/>
      <c r="AC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AA484" s="3"/>
      <c r="AB484" s="3"/>
      <c r="AC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AA485" s="3"/>
      <c r="AB485" s="3"/>
      <c r="AC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AA486" s="3"/>
      <c r="AB486" s="3"/>
      <c r="AC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AA487" s="3"/>
      <c r="AB487" s="3"/>
      <c r="AC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AA488" s="3"/>
      <c r="AB488" s="3"/>
      <c r="AC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AA489" s="3"/>
      <c r="AB489" s="3"/>
      <c r="AC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AA490" s="3"/>
      <c r="AB490" s="3"/>
      <c r="AC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AA491" s="3"/>
      <c r="AB491" s="3"/>
      <c r="AC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AA492" s="3"/>
      <c r="AB492" s="3"/>
      <c r="AC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AA493" s="3"/>
      <c r="AB493" s="3"/>
      <c r="AC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AA494" s="3"/>
      <c r="AB494" s="3"/>
      <c r="AC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AA495" s="3"/>
      <c r="AB495" s="3"/>
      <c r="AC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AA496" s="3"/>
      <c r="AB496" s="3"/>
      <c r="AC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AA497" s="3"/>
      <c r="AB497" s="3"/>
      <c r="AC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AA498" s="3"/>
      <c r="AB498" s="3"/>
      <c r="AC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AA499" s="3"/>
      <c r="AB499" s="3"/>
      <c r="AC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AA500" s="3"/>
      <c r="AB500" s="3"/>
      <c r="AC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AA501" s="3"/>
      <c r="AB501" s="3"/>
      <c r="AC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AA502" s="3"/>
      <c r="AB502" s="3"/>
      <c r="AC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AA503" s="3"/>
      <c r="AB503" s="3"/>
      <c r="AC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AA504" s="3"/>
      <c r="AB504" s="3"/>
      <c r="AC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AA505" s="3"/>
      <c r="AB505" s="3"/>
      <c r="AC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AA506" s="3"/>
      <c r="AB506" s="3"/>
      <c r="AC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AA507" s="3"/>
      <c r="AB507" s="3"/>
      <c r="AC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AA508" s="3"/>
      <c r="AB508" s="3"/>
      <c r="AC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AA509" s="3"/>
      <c r="AB509" s="3"/>
      <c r="AC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AA510" s="3"/>
      <c r="AB510" s="3"/>
      <c r="AC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AA511" s="3"/>
      <c r="AB511" s="3"/>
      <c r="AC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AA512" s="3"/>
      <c r="AB512" s="3"/>
      <c r="AC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AA513" s="3"/>
      <c r="AB513" s="3"/>
      <c r="AC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AA514" s="3"/>
      <c r="AB514" s="3"/>
      <c r="AC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AA515" s="3"/>
      <c r="AB515" s="3"/>
      <c r="AC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AA516" s="3"/>
      <c r="AB516" s="3"/>
      <c r="AC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AA517" s="3"/>
      <c r="AB517" s="3"/>
      <c r="AC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AA518" s="3"/>
      <c r="AB518" s="3"/>
      <c r="AC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AA519" s="3"/>
      <c r="AB519" s="3"/>
      <c r="AC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AA520" s="3"/>
      <c r="AB520" s="3"/>
      <c r="AC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AA521" s="3"/>
      <c r="AB521" s="3"/>
      <c r="AC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AA522" s="3"/>
      <c r="AB522" s="3"/>
      <c r="AC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AA523" s="3"/>
      <c r="AB523" s="3"/>
      <c r="AC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AA524" s="3"/>
      <c r="AB524" s="3"/>
      <c r="AC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AA525" s="3"/>
      <c r="AB525" s="3"/>
      <c r="AC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AA526" s="3"/>
      <c r="AB526" s="3"/>
      <c r="AC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AA527" s="3"/>
      <c r="AB527" s="3"/>
      <c r="AC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AA528" s="3"/>
      <c r="AB528" s="3"/>
      <c r="AC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AA529" s="3"/>
      <c r="AB529" s="3"/>
      <c r="AC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AA530" s="3"/>
      <c r="AB530" s="3"/>
      <c r="AC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AA531" s="3"/>
      <c r="AB531" s="3"/>
      <c r="AC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AA532" s="3"/>
      <c r="AB532" s="3"/>
      <c r="AC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AA533" s="3"/>
      <c r="AB533" s="3"/>
      <c r="AC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AA534" s="3"/>
      <c r="AB534" s="3"/>
      <c r="AC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AA535" s="3"/>
      <c r="AB535" s="3"/>
      <c r="AC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AA536" s="3"/>
      <c r="AB536" s="3"/>
      <c r="AC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AA537" s="3"/>
      <c r="AB537" s="3"/>
      <c r="AC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AA538" s="3"/>
      <c r="AB538" s="3"/>
      <c r="AC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AA539" s="3"/>
      <c r="AB539" s="3"/>
      <c r="AC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AA540" s="3"/>
      <c r="AB540" s="3"/>
      <c r="AC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AA541" s="3"/>
      <c r="AB541" s="3"/>
      <c r="AC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AA542" s="3"/>
      <c r="AB542" s="3"/>
      <c r="AC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AA543" s="3"/>
      <c r="AB543" s="3"/>
      <c r="AC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AA544" s="3"/>
      <c r="AB544" s="3"/>
      <c r="AC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AA545" s="3"/>
      <c r="AB545" s="3"/>
      <c r="AC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AA546" s="3"/>
      <c r="AB546" s="3"/>
      <c r="AC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AA547" s="3"/>
      <c r="AB547" s="3"/>
      <c r="AC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AA548" s="3"/>
      <c r="AB548" s="3"/>
      <c r="AC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AA549" s="3"/>
      <c r="AB549" s="3"/>
      <c r="AC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AA550" s="3"/>
      <c r="AB550" s="3"/>
      <c r="AC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AA551" s="3"/>
      <c r="AB551" s="3"/>
      <c r="AC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AA552" s="3"/>
      <c r="AB552" s="3"/>
      <c r="AC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AA553" s="3"/>
      <c r="AB553" s="3"/>
      <c r="AC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AA554" s="3"/>
      <c r="AB554" s="3"/>
      <c r="AC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AA555" s="3"/>
      <c r="AB555" s="3"/>
      <c r="AC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AA556" s="3"/>
      <c r="AB556" s="3"/>
      <c r="AC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AA557" s="3"/>
      <c r="AB557" s="3"/>
      <c r="AC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AA558" s="3"/>
      <c r="AB558" s="3"/>
      <c r="AC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AA559" s="3"/>
      <c r="AB559" s="3"/>
      <c r="AC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AA560" s="3"/>
      <c r="AB560" s="3"/>
      <c r="AC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AA561" s="3"/>
      <c r="AB561" s="3"/>
      <c r="AC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AA562" s="3"/>
      <c r="AB562" s="3"/>
      <c r="AC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AA563" s="3"/>
      <c r="AB563" s="3"/>
      <c r="AC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AA564" s="3"/>
      <c r="AB564" s="3"/>
      <c r="AC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AA565" s="3"/>
      <c r="AB565" s="3"/>
      <c r="AC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AA566" s="3"/>
      <c r="AB566" s="3"/>
      <c r="AC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AA567" s="3"/>
      <c r="AB567" s="3"/>
      <c r="AC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AA568" s="3"/>
      <c r="AB568" s="3"/>
      <c r="AC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AA569" s="3"/>
      <c r="AB569" s="3"/>
      <c r="AC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AA570" s="3"/>
      <c r="AB570" s="3"/>
      <c r="AC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AA571" s="3"/>
      <c r="AB571" s="3"/>
      <c r="AC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AA572" s="3"/>
      <c r="AB572" s="3"/>
      <c r="AC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AA573" s="3"/>
      <c r="AB573" s="3"/>
      <c r="AC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AA574" s="3"/>
      <c r="AB574" s="3"/>
      <c r="AC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AA575" s="3"/>
      <c r="AB575" s="3"/>
      <c r="AC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AA576" s="3"/>
      <c r="AB576" s="3"/>
      <c r="AC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AA577" s="3"/>
      <c r="AB577" s="3"/>
      <c r="AC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AA578" s="3"/>
      <c r="AB578" s="3"/>
      <c r="AC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AA579" s="3"/>
      <c r="AB579" s="3"/>
      <c r="AC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AA580" s="3"/>
      <c r="AB580" s="3"/>
      <c r="AC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AA581" s="3"/>
      <c r="AB581" s="3"/>
      <c r="AC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AA582" s="3"/>
      <c r="AB582" s="3"/>
      <c r="AC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AA583" s="3"/>
      <c r="AB583" s="3"/>
      <c r="AC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AA584" s="3"/>
      <c r="AB584" s="3"/>
      <c r="AC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AA585" s="3"/>
      <c r="AB585" s="3"/>
      <c r="AC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AA586" s="3"/>
      <c r="AB586" s="3"/>
      <c r="AC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AA587" s="3"/>
      <c r="AB587" s="3"/>
      <c r="AC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AA588" s="3"/>
      <c r="AB588" s="3"/>
      <c r="AC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AA589" s="3"/>
      <c r="AB589" s="3"/>
      <c r="AC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AA590" s="3"/>
      <c r="AB590" s="3"/>
      <c r="AC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AA591" s="3"/>
      <c r="AB591" s="3"/>
      <c r="AC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AA592" s="3"/>
      <c r="AB592" s="3"/>
      <c r="AC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AA593" s="3"/>
      <c r="AB593" s="3"/>
      <c r="AC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AA594" s="3"/>
      <c r="AB594" s="3"/>
      <c r="AC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AA595" s="3"/>
      <c r="AB595" s="3"/>
      <c r="AC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AA596" s="3"/>
      <c r="AB596" s="3"/>
      <c r="AC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AA597" s="3"/>
      <c r="AB597" s="3"/>
      <c r="AC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AA598" s="3"/>
      <c r="AB598" s="3"/>
      <c r="AC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AA599" s="3"/>
      <c r="AB599" s="3"/>
      <c r="AC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AA600" s="3"/>
      <c r="AB600" s="3"/>
      <c r="AC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AA601" s="3"/>
      <c r="AB601" s="3"/>
      <c r="AC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AA602" s="3"/>
      <c r="AB602" s="3"/>
      <c r="AC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AA603" s="3"/>
      <c r="AB603" s="3"/>
      <c r="AC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AA604" s="3"/>
      <c r="AB604" s="3"/>
      <c r="AC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AA605" s="3"/>
      <c r="AB605" s="3"/>
      <c r="AC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AA606" s="3"/>
      <c r="AB606" s="3"/>
      <c r="AC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AA607" s="3"/>
      <c r="AB607" s="3"/>
      <c r="AC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AA608" s="3"/>
      <c r="AB608" s="3"/>
      <c r="AC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AA609" s="3"/>
      <c r="AB609" s="3"/>
      <c r="AC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AA610" s="3"/>
      <c r="AB610" s="3"/>
      <c r="AC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AA611" s="3"/>
      <c r="AB611" s="3"/>
      <c r="AC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AA612" s="3"/>
      <c r="AB612" s="3"/>
      <c r="AC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AA613" s="3"/>
      <c r="AB613" s="3"/>
      <c r="AC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AA614" s="3"/>
      <c r="AB614" s="3"/>
      <c r="AC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AA615" s="3"/>
      <c r="AB615" s="3"/>
      <c r="AC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AA616" s="3"/>
      <c r="AB616" s="3"/>
      <c r="AC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AA617" s="3"/>
      <c r="AB617" s="3"/>
      <c r="AC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AA618" s="3"/>
      <c r="AB618" s="3"/>
      <c r="AC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AA619" s="3"/>
      <c r="AB619" s="3"/>
      <c r="AC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AA620" s="3"/>
      <c r="AB620" s="3"/>
      <c r="AC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AA621" s="3"/>
      <c r="AB621" s="3"/>
      <c r="AC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AA622" s="3"/>
      <c r="AB622" s="3"/>
      <c r="AC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AA623" s="3"/>
      <c r="AB623" s="3"/>
      <c r="AC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AA624" s="3"/>
      <c r="AB624" s="3"/>
      <c r="AC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AA625" s="3"/>
      <c r="AB625" s="3"/>
      <c r="AC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AA626" s="3"/>
      <c r="AB626" s="3"/>
      <c r="AC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AA627" s="3"/>
      <c r="AB627" s="3"/>
      <c r="AC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AA628" s="3"/>
      <c r="AB628" s="3"/>
      <c r="AC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AA629" s="3"/>
      <c r="AB629" s="3"/>
      <c r="AC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AA630" s="3"/>
      <c r="AB630" s="3"/>
      <c r="AC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AA631" s="3"/>
      <c r="AB631" s="3"/>
      <c r="AC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AA632" s="3"/>
      <c r="AB632" s="3"/>
      <c r="AC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AA633" s="3"/>
      <c r="AB633" s="3"/>
      <c r="AC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AA634" s="3"/>
      <c r="AB634" s="3"/>
      <c r="AC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AA635" s="3"/>
      <c r="AB635" s="3"/>
      <c r="AC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AA636" s="3"/>
      <c r="AB636" s="3"/>
      <c r="AC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AA637" s="3"/>
      <c r="AB637" s="3"/>
      <c r="AC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AA638" s="3"/>
      <c r="AB638" s="3"/>
      <c r="AC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AA639" s="3"/>
      <c r="AB639" s="3"/>
      <c r="AC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AA640" s="3"/>
      <c r="AB640" s="3"/>
      <c r="AC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AA641" s="3"/>
      <c r="AB641" s="3"/>
      <c r="AC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AA642" s="3"/>
      <c r="AB642" s="3"/>
      <c r="AC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AA643" s="3"/>
      <c r="AB643" s="3"/>
      <c r="AC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AA644" s="3"/>
      <c r="AB644" s="3"/>
      <c r="AC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AA645" s="3"/>
      <c r="AB645" s="3"/>
      <c r="AC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AA646" s="3"/>
      <c r="AB646" s="3"/>
      <c r="AC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AA647" s="3"/>
      <c r="AB647" s="3"/>
      <c r="AC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AA648" s="3"/>
      <c r="AB648" s="3"/>
      <c r="AC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AA649" s="3"/>
      <c r="AB649" s="3"/>
      <c r="AC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AA650" s="3"/>
      <c r="AB650" s="3"/>
      <c r="AC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AA651" s="3"/>
      <c r="AB651" s="3"/>
      <c r="AC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AA652" s="3"/>
      <c r="AB652" s="3"/>
      <c r="AC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AA653" s="3"/>
      <c r="AB653" s="3"/>
      <c r="AC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AA654" s="3"/>
      <c r="AB654" s="3"/>
      <c r="AC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AA655" s="3"/>
      <c r="AB655" s="3"/>
      <c r="AC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AA656" s="3"/>
      <c r="AB656" s="3"/>
      <c r="AC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AA657" s="3"/>
      <c r="AB657" s="3"/>
      <c r="AC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AA658" s="3"/>
      <c r="AB658" s="3"/>
      <c r="AC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AA659" s="3"/>
      <c r="AB659" s="3"/>
      <c r="AC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AA660" s="3"/>
      <c r="AB660" s="3"/>
      <c r="AC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AA661" s="3"/>
      <c r="AB661" s="3"/>
      <c r="AC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AA662" s="3"/>
      <c r="AB662" s="3"/>
      <c r="AC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AA663" s="3"/>
      <c r="AB663" s="3"/>
      <c r="AC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AA664" s="3"/>
      <c r="AB664" s="3"/>
      <c r="AC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AA665" s="3"/>
      <c r="AB665" s="3"/>
      <c r="AC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AA666" s="3"/>
      <c r="AB666" s="3"/>
      <c r="AC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AA667" s="3"/>
      <c r="AB667" s="3"/>
      <c r="AC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AA668" s="3"/>
      <c r="AB668" s="3"/>
      <c r="AC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AA669" s="3"/>
      <c r="AB669" s="3"/>
      <c r="AC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AA670" s="3"/>
      <c r="AB670" s="3"/>
      <c r="AC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AA671" s="3"/>
      <c r="AB671" s="3"/>
      <c r="AC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AA672" s="3"/>
      <c r="AB672" s="3"/>
      <c r="AC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AA673" s="3"/>
      <c r="AB673" s="3"/>
      <c r="AC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AA674" s="3"/>
      <c r="AB674" s="3"/>
      <c r="AC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AA675" s="3"/>
      <c r="AB675" s="3"/>
      <c r="AC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AA676" s="3"/>
      <c r="AB676" s="3"/>
      <c r="AC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AA677" s="3"/>
      <c r="AB677" s="3"/>
      <c r="AC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AA678" s="3"/>
      <c r="AB678" s="3"/>
      <c r="AC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AA679" s="3"/>
      <c r="AB679" s="3"/>
      <c r="AC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AA680" s="3"/>
      <c r="AB680" s="3"/>
      <c r="AC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AA681" s="3"/>
      <c r="AB681" s="3"/>
      <c r="AC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AA682" s="3"/>
      <c r="AB682" s="3"/>
      <c r="AC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AA683" s="3"/>
      <c r="AB683" s="3"/>
      <c r="AC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AA684" s="3"/>
      <c r="AB684" s="3"/>
      <c r="AC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AA685" s="3"/>
      <c r="AB685" s="3"/>
      <c r="AC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AA686" s="3"/>
      <c r="AB686" s="3"/>
      <c r="AC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AA687" s="3"/>
      <c r="AB687" s="3"/>
      <c r="AC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AA688" s="3"/>
      <c r="AB688" s="3"/>
      <c r="AC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AA689" s="3"/>
      <c r="AB689" s="3"/>
      <c r="AC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AA690" s="3"/>
      <c r="AB690" s="3"/>
      <c r="AC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AA691" s="3"/>
      <c r="AB691" s="3"/>
      <c r="AC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AA692" s="3"/>
      <c r="AB692" s="3"/>
      <c r="AC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AA693" s="3"/>
      <c r="AB693" s="3"/>
      <c r="AC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AA694" s="3"/>
      <c r="AB694" s="3"/>
      <c r="AC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AA695" s="3"/>
      <c r="AB695" s="3"/>
      <c r="AC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AA696" s="3"/>
      <c r="AB696" s="3"/>
      <c r="AC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AA697" s="3"/>
      <c r="AB697" s="3"/>
      <c r="AC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AA698" s="3"/>
      <c r="AB698" s="3"/>
      <c r="AC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AA699" s="3"/>
      <c r="AB699" s="3"/>
      <c r="AC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AA700" s="3"/>
      <c r="AB700" s="3"/>
      <c r="AC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AA701" s="3"/>
      <c r="AB701" s="3"/>
      <c r="AC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AA702" s="3"/>
      <c r="AB702" s="3"/>
      <c r="AC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AA703" s="3"/>
      <c r="AB703" s="3"/>
      <c r="AC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AA704" s="3"/>
      <c r="AB704" s="3"/>
      <c r="AC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AA705" s="3"/>
      <c r="AB705" s="3"/>
      <c r="AC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AA706" s="3"/>
      <c r="AB706" s="3"/>
      <c r="AC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AA707" s="3"/>
      <c r="AB707" s="3"/>
      <c r="AC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AA708" s="3"/>
      <c r="AB708" s="3"/>
      <c r="AC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AA709" s="3"/>
      <c r="AB709" s="3"/>
      <c r="AC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AA710" s="3"/>
      <c r="AB710" s="3"/>
      <c r="AC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AA711" s="3"/>
      <c r="AB711" s="3"/>
      <c r="AC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AA712" s="3"/>
      <c r="AB712" s="3"/>
      <c r="AC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AA713" s="3"/>
      <c r="AB713" s="3"/>
      <c r="AC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AA714" s="3"/>
      <c r="AB714" s="3"/>
      <c r="AC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AA715" s="3"/>
      <c r="AB715" s="3"/>
      <c r="AC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AA716" s="3"/>
      <c r="AB716" s="3"/>
      <c r="AC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AA717" s="3"/>
      <c r="AB717" s="3"/>
      <c r="AC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AA718" s="3"/>
      <c r="AB718" s="3"/>
      <c r="AC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AA719" s="3"/>
      <c r="AB719" s="3"/>
      <c r="AC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AA720" s="3"/>
      <c r="AB720" s="3"/>
      <c r="AC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AA721" s="3"/>
      <c r="AB721" s="3"/>
      <c r="AC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AA722" s="3"/>
      <c r="AB722" s="3"/>
      <c r="AC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AA723" s="3"/>
      <c r="AB723" s="3"/>
      <c r="AC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AA724" s="3"/>
      <c r="AB724" s="3"/>
      <c r="AC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AA725" s="3"/>
      <c r="AB725" s="3"/>
      <c r="AC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AA726" s="3"/>
      <c r="AB726" s="3"/>
      <c r="AC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AA727" s="3"/>
      <c r="AB727" s="3"/>
      <c r="AC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AA728" s="3"/>
      <c r="AB728" s="3"/>
      <c r="AC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AA729" s="3"/>
      <c r="AB729" s="3"/>
      <c r="AC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AA730" s="3"/>
      <c r="AB730" s="3"/>
      <c r="AC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AA731" s="3"/>
      <c r="AB731" s="3"/>
      <c r="AC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AA732" s="3"/>
      <c r="AB732" s="3"/>
      <c r="AC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AA733" s="3"/>
      <c r="AB733" s="3"/>
      <c r="AC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AA734" s="3"/>
      <c r="AB734" s="3"/>
      <c r="AC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AA735" s="3"/>
      <c r="AB735" s="3"/>
      <c r="AC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AA736" s="3"/>
      <c r="AB736" s="3"/>
      <c r="AC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AA737" s="3"/>
      <c r="AB737" s="3"/>
      <c r="AC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AA738" s="3"/>
      <c r="AB738" s="3"/>
      <c r="AC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AA739" s="3"/>
      <c r="AB739" s="3"/>
      <c r="AC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AA740" s="3"/>
      <c r="AB740" s="3"/>
      <c r="AC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AA741" s="3"/>
      <c r="AB741" s="3"/>
      <c r="AC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AA742" s="3"/>
      <c r="AB742" s="3"/>
      <c r="AC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AA743" s="3"/>
      <c r="AB743" s="3"/>
      <c r="AC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AA744" s="3"/>
      <c r="AB744" s="3"/>
      <c r="AC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AA745" s="3"/>
      <c r="AB745" s="3"/>
      <c r="AC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AA746" s="3"/>
      <c r="AB746" s="3"/>
      <c r="AC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AA747" s="3"/>
      <c r="AB747" s="3"/>
      <c r="AC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AA748" s="3"/>
      <c r="AB748" s="3"/>
      <c r="AC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AA749" s="3"/>
      <c r="AB749" s="3"/>
      <c r="AC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AA750" s="3"/>
      <c r="AB750" s="3"/>
      <c r="AC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AA751" s="3"/>
      <c r="AB751" s="3"/>
      <c r="AC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AA752" s="3"/>
      <c r="AB752" s="3"/>
      <c r="AC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AA753" s="3"/>
      <c r="AB753" s="3"/>
      <c r="AC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AA754" s="3"/>
      <c r="AB754" s="3"/>
      <c r="AC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AA755" s="3"/>
      <c r="AB755" s="3"/>
      <c r="AC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AA756" s="3"/>
      <c r="AB756" s="3"/>
      <c r="AC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AA757" s="3"/>
      <c r="AB757" s="3"/>
      <c r="AC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AA758" s="3"/>
      <c r="AB758" s="3"/>
      <c r="AC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AA759" s="3"/>
      <c r="AB759" s="3"/>
      <c r="AC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AA760" s="3"/>
      <c r="AB760" s="3"/>
      <c r="AC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AA761" s="3"/>
      <c r="AB761" s="3"/>
      <c r="AC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AA762" s="3"/>
      <c r="AB762" s="3"/>
      <c r="AC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AA763" s="3"/>
      <c r="AB763" s="3"/>
      <c r="AC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AA764" s="3"/>
      <c r="AB764" s="3"/>
      <c r="AC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AA765" s="3"/>
      <c r="AB765" s="3"/>
      <c r="AC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AA766" s="3"/>
      <c r="AB766" s="3"/>
      <c r="AC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AA767" s="3"/>
      <c r="AB767" s="3"/>
      <c r="AC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AA768" s="3"/>
      <c r="AB768" s="3"/>
      <c r="AC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AA769" s="3"/>
      <c r="AB769" s="3"/>
      <c r="AC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AA770" s="3"/>
      <c r="AB770" s="3"/>
      <c r="AC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AA771" s="3"/>
      <c r="AB771" s="3"/>
      <c r="AC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AA772" s="3"/>
      <c r="AB772" s="3"/>
      <c r="AC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AA773" s="3"/>
      <c r="AB773" s="3"/>
      <c r="AC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AA774" s="3"/>
      <c r="AB774" s="3"/>
      <c r="AC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AA775" s="3"/>
      <c r="AB775" s="3"/>
      <c r="AC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AA776" s="3"/>
      <c r="AB776" s="3"/>
      <c r="AC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AA777" s="3"/>
      <c r="AB777" s="3"/>
      <c r="AC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AA778" s="3"/>
      <c r="AB778" s="3"/>
      <c r="AC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AA779" s="3"/>
      <c r="AB779" s="3"/>
      <c r="AC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AA780" s="3"/>
      <c r="AB780" s="3"/>
      <c r="AC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AA781" s="3"/>
      <c r="AB781" s="3"/>
      <c r="AC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AA782" s="3"/>
      <c r="AB782" s="3"/>
      <c r="AC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AA783" s="3"/>
      <c r="AB783" s="3"/>
      <c r="AC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AA784" s="3"/>
      <c r="AB784" s="3"/>
      <c r="AC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AA785" s="3"/>
      <c r="AB785" s="3"/>
      <c r="AC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AA786" s="3"/>
      <c r="AB786" s="3"/>
      <c r="AC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AA787" s="3"/>
      <c r="AB787" s="3"/>
      <c r="AC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AA788" s="3"/>
      <c r="AB788" s="3"/>
      <c r="AC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AA789" s="3"/>
      <c r="AB789" s="3"/>
      <c r="AC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AA790" s="3"/>
      <c r="AB790" s="3"/>
      <c r="AC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AA791" s="3"/>
      <c r="AB791" s="3"/>
      <c r="AC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AA792" s="3"/>
      <c r="AB792" s="3"/>
      <c r="AC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AA793" s="3"/>
      <c r="AB793" s="3"/>
      <c r="AC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AA794" s="3"/>
      <c r="AB794" s="3"/>
      <c r="AC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AA795" s="3"/>
      <c r="AB795" s="3"/>
      <c r="AC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AA796" s="3"/>
      <c r="AB796" s="3"/>
      <c r="AC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AA797" s="3"/>
      <c r="AB797" s="3"/>
      <c r="AC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AA798" s="3"/>
      <c r="AB798" s="3"/>
      <c r="AC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AA799" s="3"/>
      <c r="AB799" s="3"/>
      <c r="AC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AA800" s="3"/>
      <c r="AB800" s="3"/>
      <c r="AC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AA801" s="3"/>
      <c r="AB801" s="3"/>
      <c r="AC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AA802" s="3"/>
      <c r="AB802" s="3"/>
      <c r="AC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AA803" s="3"/>
      <c r="AB803" s="3"/>
      <c r="AC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AA804" s="3"/>
      <c r="AB804" s="3"/>
      <c r="AC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AA805" s="3"/>
      <c r="AB805" s="3"/>
      <c r="AC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AA806" s="3"/>
      <c r="AB806" s="3"/>
      <c r="AC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AA807" s="3"/>
      <c r="AB807" s="3"/>
      <c r="AC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AA808" s="3"/>
      <c r="AB808" s="3"/>
      <c r="AC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AA809" s="3"/>
      <c r="AB809" s="3"/>
      <c r="AC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AA810" s="3"/>
      <c r="AB810" s="3"/>
      <c r="AC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AA811" s="3"/>
      <c r="AB811" s="3"/>
      <c r="AC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AA812" s="3"/>
      <c r="AB812" s="3"/>
      <c r="AC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AA813" s="3"/>
      <c r="AB813" s="3"/>
      <c r="AC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AA814" s="3"/>
      <c r="AB814" s="3"/>
      <c r="AC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AA815" s="3"/>
      <c r="AB815" s="3"/>
      <c r="AC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AA816" s="3"/>
      <c r="AB816" s="3"/>
      <c r="AC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AA817" s="3"/>
      <c r="AB817" s="3"/>
      <c r="AC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AA818" s="3"/>
      <c r="AB818" s="3"/>
      <c r="AC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AA819" s="3"/>
      <c r="AB819" s="3"/>
      <c r="AC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AA820" s="3"/>
      <c r="AB820" s="3"/>
      <c r="AC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AA821" s="3"/>
      <c r="AB821" s="3"/>
      <c r="AC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AA822" s="3"/>
      <c r="AB822" s="3"/>
      <c r="AC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AA823" s="3"/>
      <c r="AB823" s="3"/>
      <c r="AC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AA824" s="3"/>
      <c r="AB824" s="3"/>
      <c r="AC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AA825" s="3"/>
      <c r="AB825" s="3"/>
      <c r="AC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AA826" s="3"/>
      <c r="AB826" s="3"/>
      <c r="AC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AA827" s="3"/>
      <c r="AB827" s="3"/>
      <c r="AC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AA828" s="3"/>
      <c r="AB828" s="3"/>
      <c r="AC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AA829" s="3"/>
      <c r="AB829" s="3"/>
      <c r="AC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AA830" s="3"/>
      <c r="AB830" s="3"/>
      <c r="AC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AA831" s="3"/>
      <c r="AB831" s="3"/>
      <c r="AC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AA832" s="3"/>
      <c r="AB832" s="3"/>
      <c r="AC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AA833" s="3"/>
      <c r="AB833" s="3"/>
      <c r="AC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AA834" s="3"/>
      <c r="AB834" s="3"/>
      <c r="AC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AA835" s="3"/>
      <c r="AB835" s="3"/>
      <c r="AC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AA836" s="3"/>
      <c r="AB836" s="3"/>
      <c r="AC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AA837" s="3"/>
      <c r="AB837" s="3"/>
      <c r="AC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AA838" s="3"/>
      <c r="AB838" s="3"/>
      <c r="AC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AA839" s="3"/>
      <c r="AB839" s="3"/>
      <c r="AC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AA840" s="3"/>
      <c r="AB840" s="3"/>
      <c r="AC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AA841" s="3"/>
      <c r="AB841" s="3"/>
      <c r="AC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AA842" s="3"/>
      <c r="AB842" s="3"/>
      <c r="AC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AA843" s="3"/>
      <c r="AB843" s="3"/>
      <c r="AC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AA844" s="3"/>
      <c r="AB844" s="3"/>
      <c r="AC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AA845" s="3"/>
      <c r="AB845" s="3"/>
      <c r="AC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AA846" s="3"/>
      <c r="AB846" s="3"/>
      <c r="AC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AA847" s="3"/>
      <c r="AB847" s="3"/>
      <c r="AC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AA848" s="3"/>
      <c r="AB848" s="3"/>
      <c r="AC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AA849" s="3"/>
      <c r="AB849" s="3"/>
      <c r="AC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AA850" s="3"/>
      <c r="AB850" s="3"/>
      <c r="AC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AA851" s="3"/>
      <c r="AB851" s="3"/>
      <c r="AC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AA852" s="3"/>
      <c r="AB852" s="3"/>
      <c r="AC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AA853" s="3"/>
      <c r="AB853" s="3"/>
      <c r="AC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AA854" s="3"/>
      <c r="AB854" s="3"/>
      <c r="AC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AA855" s="3"/>
      <c r="AB855" s="3"/>
      <c r="AC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AA856" s="3"/>
      <c r="AB856" s="3"/>
      <c r="AC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AA857" s="3"/>
      <c r="AB857" s="3"/>
      <c r="AC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AA858" s="3"/>
      <c r="AB858" s="3"/>
      <c r="AC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AA859" s="3"/>
      <c r="AB859" s="3"/>
      <c r="AC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AA860" s="3"/>
      <c r="AB860" s="3"/>
      <c r="AC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AA861" s="3"/>
      <c r="AB861" s="3"/>
      <c r="AC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AA862" s="3"/>
      <c r="AB862" s="3"/>
      <c r="AC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AA863" s="3"/>
      <c r="AB863" s="3"/>
      <c r="AC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AA864" s="3"/>
      <c r="AB864" s="3"/>
      <c r="AC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AA865" s="3"/>
      <c r="AB865" s="3"/>
      <c r="AC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AA866" s="3"/>
      <c r="AB866" s="3"/>
      <c r="AC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AA867" s="3"/>
      <c r="AB867" s="3"/>
      <c r="AC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AA868" s="3"/>
      <c r="AB868" s="3"/>
      <c r="AC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AA869" s="3"/>
      <c r="AB869" s="3"/>
      <c r="AC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AA870" s="3"/>
      <c r="AB870" s="3"/>
      <c r="AC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AA871" s="3"/>
      <c r="AB871" s="3"/>
      <c r="AC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AA872" s="3"/>
      <c r="AB872" s="3"/>
      <c r="AC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AA873" s="3"/>
      <c r="AB873" s="3"/>
      <c r="AC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AA874" s="3"/>
      <c r="AB874" s="3"/>
      <c r="AC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AA875" s="3"/>
      <c r="AB875" s="3"/>
      <c r="AC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AA876" s="3"/>
      <c r="AB876" s="3"/>
      <c r="AC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AA877" s="3"/>
      <c r="AB877" s="3"/>
      <c r="AC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AA878" s="3"/>
      <c r="AB878" s="3"/>
      <c r="AC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AA879" s="3"/>
      <c r="AB879" s="3"/>
      <c r="AC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AA880" s="3"/>
      <c r="AB880" s="3"/>
      <c r="AC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AA881" s="3"/>
      <c r="AB881" s="3"/>
      <c r="AC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AA882" s="3"/>
      <c r="AB882" s="3"/>
      <c r="AC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AA883" s="3"/>
      <c r="AB883" s="3"/>
      <c r="AC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AA884" s="3"/>
      <c r="AB884" s="3"/>
      <c r="AC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AA885" s="3"/>
      <c r="AB885" s="3"/>
      <c r="AC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AA886" s="3"/>
      <c r="AB886" s="3"/>
      <c r="AC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AA887" s="3"/>
      <c r="AB887" s="3"/>
      <c r="AC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AA888" s="3"/>
      <c r="AB888" s="3"/>
      <c r="AC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AA889" s="3"/>
      <c r="AB889" s="3"/>
      <c r="AC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AA890" s="3"/>
      <c r="AB890" s="3"/>
      <c r="AC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AA891" s="3"/>
      <c r="AB891" s="3"/>
      <c r="AC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AA892" s="3"/>
      <c r="AB892" s="3"/>
      <c r="AC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AA893" s="3"/>
      <c r="AB893" s="3"/>
      <c r="AC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AA894" s="3"/>
      <c r="AB894" s="3"/>
      <c r="AC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AA895" s="3"/>
      <c r="AB895" s="3"/>
      <c r="AC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AA896" s="3"/>
      <c r="AB896" s="3"/>
      <c r="AC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AA897" s="3"/>
      <c r="AB897" s="3"/>
      <c r="AC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AA898" s="3"/>
      <c r="AB898" s="3"/>
      <c r="AC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AA899" s="3"/>
      <c r="AB899" s="3"/>
      <c r="AC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AA900" s="3"/>
      <c r="AB900" s="3"/>
      <c r="AC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AA901" s="3"/>
      <c r="AB901" s="3"/>
      <c r="AC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AA902" s="3"/>
      <c r="AB902" s="3"/>
      <c r="AC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AA903" s="3"/>
      <c r="AB903" s="3"/>
      <c r="AC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AA904" s="3"/>
      <c r="AB904" s="3"/>
      <c r="AC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AA905" s="3"/>
      <c r="AB905" s="3"/>
      <c r="AC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AA906" s="3"/>
      <c r="AB906" s="3"/>
      <c r="AC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AA907" s="3"/>
      <c r="AB907" s="3"/>
      <c r="AC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AA908" s="3"/>
      <c r="AB908" s="3"/>
      <c r="AC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AA909" s="3"/>
      <c r="AB909" s="3"/>
      <c r="AC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AA910" s="3"/>
      <c r="AB910" s="3"/>
      <c r="AC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AA911" s="3"/>
      <c r="AB911" s="3"/>
      <c r="AC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AA912" s="3"/>
      <c r="AB912" s="3"/>
      <c r="AC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AA913" s="3"/>
      <c r="AB913" s="3"/>
      <c r="AC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AA914" s="3"/>
      <c r="AB914" s="3"/>
      <c r="AC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AA915" s="3"/>
      <c r="AB915" s="3"/>
      <c r="AC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AA916" s="3"/>
      <c r="AB916" s="3"/>
      <c r="AC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AA917" s="3"/>
      <c r="AB917" s="3"/>
      <c r="AC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AA918" s="3"/>
      <c r="AB918" s="3"/>
      <c r="AC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AA919" s="3"/>
      <c r="AB919" s="3"/>
      <c r="AC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AA920" s="3"/>
      <c r="AB920" s="3"/>
      <c r="AC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AA921" s="3"/>
      <c r="AB921" s="3"/>
      <c r="AC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AA922" s="3"/>
      <c r="AB922" s="3"/>
      <c r="AC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AA923" s="3"/>
      <c r="AB923" s="3"/>
      <c r="AC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AA924" s="3"/>
      <c r="AB924" s="3"/>
      <c r="AC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AA925" s="3"/>
      <c r="AB925" s="3"/>
      <c r="AC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AA926" s="3"/>
      <c r="AB926" s="3"/>
      <c r="AC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AA927" s="3"/>
      <c r="AB927" s="3"/>
      <c r="AC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AA928" s="3"/>
      <c r="AB928" s="3"/>
      <c r="AC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AA929" s="3"/>
      <c r="AB929" s="3"/>
      <c r="AC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AA930" s="3"/>
      <c r="AB930" s="3"/>
      <c r="AC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AA931" s="3"/>
      <c r="AB931" s="3"/>
      <c r="AC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AA932" s="3"/>
      <c r="AB932" s="3"/>
      <c r="AC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AA933" s="3"/>
      <c r="AB933" s="3"/>
      <c r="AC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AA934" s="3"/>
      <c r="AB934" s="3"/>
      <c r="AC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AA935" s="3"/>
      <c r="AB935" s="3"/>
      <c r="AC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AA936" s="3"/>
      <c r="AB936" s="3"/>
      <c r="AC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AA937" s="3"/>
      <c r="AB937" s="3"/>
      <c r="AC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AA938" s="3"/>
      <c r="AB938" s="3"/>
      <c r="AC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AA939" s="3"/>
      <c r="AB939" s="3"/>
      <c r="AC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AA940" s="3"/>
      <c r="AB940" s="3"/>
      <c r="AC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AA941" s="3"/>
      <c r="AB941" s="3"/>
      <c r="AC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AA942" s="3"/>
      <c r="AB942" s="3"/>
      <c r="AC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AA943" s="3"/>
      <c r="AB943" s="3"/>
      <c r="AC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AA944" s="3"/>
      <c r="AB944" s="3"/>
      <c r="AC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AA945" s="3"/>
      <c r="AB945" s="3"/>
      <c r="AC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AA946" s="3"/>
      <c r="AB946" s="3"/>
      <c r="AC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AA947" s="3"/>
      <c r="AB947" s="3"/>
      <c r="AC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AA948" s="3"/>
      <c r="AB948" s="3"/>
      <c r="AC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AA949" s="3"/>
      <c r="AB949" s="3"/>
      <c r="AC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AA950" s="3"/>
      <c r="AB950" s="3"/>
      <c r="AC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AA951" s="3"/>
      <c r="AB951" s="3"/>
      <c r="AC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AA952" s="3"/>
      <c r="AB952" s="3"/>
      <c r="AC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AA953" s="3"/>
      <c r="AB953" s="3"/>
      <c r="AC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AA954" s="3"/>
      <c r="AB954" s="3"/>
      <c r="AC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AA955" s="3"/>
      <c r="AB955" s="3"/>
      <c r="AC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AA956" s="3"/>
      <c r="AB956" s="3"/>
      <c r="AC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AA957" s="3"/>
      <c r="AB957" s="3"/>
      <c r="AC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AA958" s="3"/>
      <c r="AB958" s="3"/>
      <c r="AC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AA959" s="3"/>
      <c r="AB959" s="3"/>
      <c r="AC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AA960" s="3"/>
      <c r="AB960" s="3"/>
      <c r="AC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AA961" s="3"/>
      <c r="AB961" s="3"/>
      <c r="AC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AA962" s="3"/>
      <c r="AB962" s="3"/>
      <c r="AC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AA963" s="3"/>
      <c r="AB963" s="3"/>
      <c r="AC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AA964" s="3"/>
      <c r="AB964" s="3"/>
      <c r="AC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AA965" s="3"/>
      <c r="AB965" s="3"/>
      <c r="AC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AA966" s="3"/>
      <c r="AB966" s="3"/>
      <c r="AC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AA967" s="3"/>
      <c r="AB967" s="3"/>
      <c r="AC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AA968" s="3"/>
      <c r="AB968" s="3"/>
      <c r="AC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AA969" s="3"/>
      <c r="AB969" s="3"/>
      <c r="AC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AA970" s="3"/>
      <c r="AB970" s="3"/>
      <c r="AC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AA971" s="3"/>
      <c r="AB971" s="3"/>
      <c r="AC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AA972" s="3"/>
      <c r="AB972" s="3"/>
      <c r="AC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AA973" s="3"/>
      <c r="AB973" s="3"/>
      <c r="AC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AA974" s="3"/>
      <c r="AB974" s="3"/>
      <c r="AC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AA975" s="3"/>
      <c r="AB975" s="3"/>
      <c r="AC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AA976" s="3"/>
      <c r="AB976" s="3"/>
      <c r="AC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AA977" s="3"/>
      <c r="AB977" s="3"/>
      <c r="AC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AA978" s="3"/>
      <c r="AB978" s="3"/>
      <c r="AC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AA979" s="3"/>
      <c r="AB979" s="3"/>
      <c r="AC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AA980" s="3"/>
      <c r="AB980" s="3"/>
      <c r="AC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AA981" s="3"/>
      <c r="AB981" s="3"/>
      <c r="AC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AA982" s="3"/>
      <c r="AB982" s="3"/>
      <c r="AC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AA983" s="3"/>
      <c r="AB983" s="3"/>
      <c r="AC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AA984" s="3"/>
      <c r="AB984" s="3"/>
      <c r="AC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AA985" s="3"/>
      <c r="AB985" s="3"/>
      <c r="AC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AA986" s="3"/>
      <c r="AB986" s="3"/>
      <c r="AC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AA987" s="3"/>
      <c r="AB987" s="3"/>
      <c r="AC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AA988" s="3"/>
      <c r="AB988" s="3"/>
      <c r="AC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AA989" s="3"/>
      <c r="AB989" s="3"/>
      <c r="AC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AA990" s="3"/>
      <c r="AB990" s="3"/>
      <c r="AC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AA991" s="3"/>
      <c r="AB991" s="3"/>
      <c r="AC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AA992" s="3"/>
      <c r="AB992" s="3"/>
      <c r="AC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AA993" s="3"/>
      <c r="AB993" s="3"/>
      <c r="AC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AA994" s="3"/>
      <c r="AB994" s="3"/>
      <c r="AC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AA995" s="3"/>
      <c r="AB995" s="3"/>
      <c r="AC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AA996" s="3"/>
      <c r="AB996" s="3"/>
      <c r="AC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AA997" s="3"/>
      <c r="AB997" s="3"/>
      <c r="AC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AA998" s="3"/>
      <c r="AB998" s="3"/>
      <c r="AC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AA999" s="3"/>
      <c r="AB999" s="3"/>
      <c r="AC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AA1000" s="3"/>
      <c r="AB1000" s="3"/>
      <c r="AC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5.63"/>
    <col customWidth="1" min="3" max="4" width="8.88"/>
    <col customWidth="1" min="5" max="5" width="9.38"/>
    <col customWidth="1" min="6" max="6" width="11.38"/>
    <col customWidth="1" min="7" max="7" width="9.13"/>
    <col customWidth="1" min="8" max="8" width="8.88"/>
    <col customWidth="1" min="9" max="9" width="9.13"/>
    <col customWidth="1" min="10" max="10" width="21.38"/>
    <col customWidth="1" min="11" max="11" width="9.38"/>
    <col customWidth="1" min="12" max="12" width="8.88"/>
    <col customWidth="1" min="13" max="13" width="9.25"/>
    <col customWidth="1" min="14" max="14" width="12.75"/>
    <col customWidth="1" min="15" max="19" width="9.13"/>
    <col customWidth="1" min="20" max="23" width="8.88"/>
    <col customWidth="1" min="24" max="26" width="8.0"/>
  </cols>
  <sheetData>
    <row r="1" ht="12.75" customHeight="1">
      <c r="A1" s="10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5" t="s">
        <v>38</v>
      </c>
      <c r="N1" s="16" t="s">
        <v>39</v>
      </c>
      <c r="O1" s="16" t="s">
        <v>2</v>
      </c>
      <c r="P1" s="16" t="s">
        <v>3</v>
      </c>
      <c r="Q1" s="16" t="s">
        <v>4</v>
      </c>
      <c r="R1" s="16" t="s">
        <v>5</v>
      </c>
      <c r="S1" s="16" t="s">
        <v>6</v>
      </c>
    </row>
    <row r="2" ht="12.75" customHeight="1">
      <c r="A2" s="17" t="s">
        <v>40</v>
      </c>
      <c r="C2" s="8">
        <f t="shared" ref="C2:C202" si="1">($B$3/185)*O2</f>
        <v>18.43110684</v>
      </c>
      <c r="D2" s="8">
        <f t="shared" ref="D2:D202" si="2">($B$4/-146)*P2</f>
        <v>-0.9482426809</v>
      </c>
      <c r="E2" s="8">
        <f t="shared" ref="E2:E202" si="3">($B$5/152)*Q2</f>
        <v>0.7240323746</v>
      </c>
      <c r="F2" s="8">
        <f t="shared" ref="F2:F202" si="4">R2</f>
        <v>0.0005656494314</v>
      </c>
      <c r="G2" s="17">
        <f t="shared" ref="G2:G202" si="5">SUM(C2:F2)</f>
        <v>18.20746218</v>
      </c>
      <c r="H2" s="3">
        <v>-100.0</v>
      </c>
      <c r="I2" s="18">
        <f t="shared" ref="I2:I202" si="6">G2/10000</f>
        <v>0.001820746218</v>
      </c>
      <c r="N2" s="16" t="s">
        <v>41</v>
      </c>
      <c r="O2" s="16">
        <v>28.6534013859291</v>
      </c>
      <c r="P2" s="16">
        <v>-1.7305428926121</v>
      </c>
      <c r="Q2" s="16">
        <v>1.20937275756593</v>
      </c>
      <c r="R2" s="16">
        <v>5.6564943135E-4</v>
      </c>
      <c r="S2" s="16">
        <v>28.132796900314283</v>
      </c>
      <c r="V2" s="16">
        <v>0.64</v>
      </c>
      <c r="W2" s="16">
        <v>1.0</v>
      </c>
    </row>
    <row r="3" ht="12.75" customHeight="1">
      <c r="A3" s="19" t="s">
        <v>42</v>
      </c>
      <c r="B3" s="13">
        <v>119.0</v>
      </c>
      <c r="C3" s="8">
        <f t="shared" si="1"/>
        <v>20.23859003</v>
      </c>
      <c r="D3" s="8">
        <f t="shared" si="2"/>
        <v>-1.038494438</v>
      </c>
      <c r="E3" s="8">
        <f t="shared" si="3"/>
        <v>0.786478232</v>
      </c>
      <c r="F3" s="8">
        <f t="shared" si="4"/>
        <v>0.0006052659902</v>
      </c>
      <c r="G3" s="17">
        <f t="shared" si="5"/>
        <v>19.98717909</v>
      </c>
      <c r="H3" s="3">
        <v>-99.0</v>
      </c>
      <c r="I3" s="18">
        <f t="shared" si="6"/>
        <v>0.001998717909</v>
      </c>
      <c r="N3" s="16"/>
      <c r="O3" s="16">
        <v>31.4633542521637</v>
      </c>
      <c r="P3" s="16">
        <v>-1.8952523502041</v>
      </c>
      <c r="Q3" s="16">
        <v>1.31367792593821</v>
      </c>
      <c r="R3" s="16">
        <v>6.0526599015E-4</v>
      </c>
      <c r="S3" s="16">
        <v>30.88238509388796</v>
      </c>
      <c r="V3" s="16">
        <v>0.64</v>
      </c>
      <c r="W3" s="16">
        <v>1.0</v>
      </c>
    </row>
    <row r="4" ht="12.75" customHeight="1">
      <c r="A4" s="19" t="s">
        <v>43</v>
      </c>
      <c r="B4" s="13">
        <v>-80.0</v>
      </c>
      <c r="C4" s="8">
        <f t="shared" si="1"/>
        <v>22.04607323</v>
      </c>
      <c r="D4" s="8">
        <f t="shared" si="2"/>
        <v>-1.128746196</v>
      </c>
      <c r="E4" s="8">
        <f t="shared" si="3"/>
        <v>0.8489240894</v>
      </c>
      <c r="F4" s="8">
        <f t="shared" si="4"/>
        <v>0.000644882549</v>
      </c>
      <c r="G4" s="17">
        <f t="shared" si="5"/>
        <v>21.766896</v>
      </c>
      <c r="H4" s="3">
        <v>-98.0</v>
      </c>
      <c r="I4" s="18">
        <f t="shared" si="6"/>
        <v>0.0021766896</v>
      </c>
      <c r="N4" s="16"/>
      <c r="O4" s="16">
        <v>34.2733071183983</v>
      </c>
      <c r="P4" s="16">
        <v>-2.059961807796</v>
      </c>
      <c r="Q4" s="16">
        <v>1.41798309431049</v>
      </c>
      <c r="R4" s="16">
        <v>6.4488254896E-4</v>
      </c>
      <c r="S4" s="16">
        <v>33.631973287461754</v>
      </c>
      <c r="V4" s="16">
        <v>0.64</v>
      </c>
      <c r="W4" s="16">
        <v>1.0</v>
      </c>
    </row>
    <row r="5" ht="12.75" customHeight="1">
      <c r="A5" s="19" t="s">
        <v>44</v>
      </c>
      <c r="B5" s="13">
        <v>91.0</v>
      </c>
      <c r="C5" s="8">
        <f t="shared" si="1"/>
        <v>23.85355642</v>
      </c>
      <c r="D5" s="8">
        <f t="shared" si="2"/>
        <v>-1.218997954</v>
      </c>
      <c r="E5" s="8">
        <f t="shared" si="3"/>
        <v>0.9113699467</v>
      </c>
      <c r="F5" s="8">
        <f t="shared" si="4"/>
        <v>0.0006844991078</v>
      </c>
      <c r="G5" s="17">
        <f t="shared" si="5"/>
        <v>23.54661291</v>
      </c>
      <c r="H5" s="3">
        <v>-97.0</v>
      </c>
      <c r="I5" s="18">
        <f t="shared" si="6"/>
        <v>0.002354661291</v>
      </c>
      <c r="M5" s="8" t="s">
        <v>45</v>
      </c>
      <c r="N5" s="17" t="s">
        <v>46</v>
      </c>
      <c r="O5" s="16">
        <v>37.0832599846329</v>
      </c>
      <c r="P5" s="16">
        <v>-2.224671265388</v>
      </c>
      <c r="Q5" s="16">
        <v>1.52228826268277</v>
      </c>
      <c r="R5" s="16">
        <v>6.8449910776E-4</v>
      </c>
      <c r="S5" s="16">
        <v>36.38156148103544</v>
      </c>
      <c r="V5" s="16">
        <v>0.64</v>
      </c>
      <c r="W5" s="16">
        <v>1.0</v>
      </c>
    </row>
    <row r="6" ht="12.75" customHeight="1">
      <c r="B6" s="19"/>
      <c r="C6" s="8">
        <f t="shared" si="1"/>
        <v>25.66103962</v>
      </c>
      <c r="D6" s="8">
        <f t="shared" si="2"/>
        <v>-1.309249711</v>
      </c>
      <c r="E6" s="8">
        <f t="shared" si="3"/>
        <v>0.9738158041</v>
      </c>
      <c r="F6" s="8">
        <f t="shared" si="4"/>
        <v>0.0007241156666</v>
      </c>
      <c r="G6" s="17">
        <f t="shared" si="5"/>
        <v>25.32632983</v>
      </c>
      <c r="H6" s="3">
        <v>-96.0</v>
      </c>
      <c r="I6" s="18">
        <f t="shared" si="6"/>
        <v>0.002532632983</v>
      </c>
      <c r="J6" s="2" t="s">
        <v>47</v>
      </c>
      <c r="K6" s="20">
        <f>MAX(I2:I102)</f>
        <v>2.20405169</v>
      </c>
      <c r="L6" s="2" t="s">
        <v>48</v>
      </c>
      <c r="M6" s="7">
        <f t="shared" ref="M6:M8" si="7">K6/0.643</f>
        <v>3.427763126</v>
      </c>
      <c r="N6" s="7">
        <f t="shared" ref="N6:N8" si="8">K6</f>
        <v>2.20405169</v>
      </c>
      <c r="O6" s="16">
        <v>39.8932128508675</v>
      </c>
      <c r="P6" s="16">
        <v>-2.38938072298</v>
      </c>
      <c r="Q6" s="16">
        <v>1.62659343105504</v>
      </c>
      <c r="R6" s="16">
        <v>7.2411566657E-4</v>
      </c>
      <c r="S6" s="16">
        <v>39.13114967460911</v>
      </c>
      <c r="V6" s="16">
        <v>0.64</v>
      </c>
      <c r="W6" s="16">
        <v>1.0</v>
      </c>
    </row>
    <row r="7" ht="12.75" customHeight="1">
      <c r="C7" s="8">
        <f t="shared" si="1"/>
        <v>27.46852281</v>
      </c>
      <c r="D7" s="8">
        <f t="shared" si="2"/>
        <v>-1.399501469</v>
      </c>
      <c r="E7" s="8">
        <f t="shared" si="3"/>
        <v>1.036261661</v>
      </c>
      <c r="F7" s="8">
        <f t="shared" si="4"/>
        <v>0.0007637322254</v>
      </c>
      <c r="G7" s="17">
        <f t="shared" si="5"/>
        <v>27.10604674</v>
      </c>
      <c r="H7" s="3">
        <v>-95.0</v>
      </c>
      <c r="I7" s="18">
        <f t="shared" si="6"/>
        <v>0.002710604674</v>
      </c>
      <c r="J7" s="2" t="s">
        <v>49</v>
      </c>
      <c r="K7" s="20">
        <f>MAX(I103:I202)</f>
        <v>1.306588223</v>
      </c>
      <c r="L7" s="2" t="s">
        <v>48</v>
      </c>
      <c r="M7" s="7">
        <f t="shared" si="7"/>
        <v>2.032019009</v>
      </c>
      <c r="N7" s="7">
        <f t="shared" si="8"/>
        <v>1.306588223</v>
      </c>
      <c r="O7" s="16">
        <v>42.7031657171021</v>
      </c>
      <c r="P7" s="16">
        <v>-2.5540901805719</v>
      </c>
      <c r="Q7" s="16">
        <v>1.73089859942732</v>
      </c>
      <c r="R7" s="16">
        <v>7.6373222538E-4</v>
      </c>
      <c r="S7" s="16">
        <v>41.880737868182905</v>
      </c>
      <c r="V7" s="16">
        <v>0.64</v>
      </c>
      <c r="W7" s="16">
        <v>1.0</v>
      </c>
    </row>
    <row r="8" ht="12.75" customHeight="1">
      <c r="C8" s="8">
        <f t="shared" si="1"/>
        <v>29.27600601</v>
      </c>
      <c r="D8" s="8">
        <f t="shared" si="2"/>
        <v>-1.489753226</v>
      </c>
      <c r="E8" s="8">
        <f t="shared" si="3"/>
        <v>1.098707519</v>
      </c>
      <c r="F8" s="8">
        <f t="shared" si="4"/>
        <v>0.0008033487842</v>
      </c>
      <c r="G8" s="17">
        <f t="shared" si="5"/>
        <v>28.88576365</v>
      </c>
      <c r="H8" s="3">
        <v>-94.0</v>
      </c>
      <c r="I8" s="18">
        <f t="shared" si="6"/>
        <v>0.002888576365</v>
      </c>
      <c r="J8" s="2" t="s">
        <v>50</v>
      </c>
      <c r="K8" s="21">
        <f>MIN(I71:I140)</f>
        <v>0.3748693239</v>
      </c>
      <c r="L8" s="2" t="s">
        <v>48</v>
      </c>
      <c r="M8" s="7">
        <f t="shared" si="7"/>
        <v>0.5830005037</v>
      </c>
      <c r="N8" s="7">
        <f t="shared" si="8"/>
        <v>0.3748693239</v>
      </c>
      <c r="O8" s="16">
        <v>45.5131185833367</v>
      </c>
      <c r="P8" s="16">
        <v>-2.7187996381639</v>
      </c>
      <c r="Q8" s="16">
        <v>1.8352037677996</v>
      </c>
      <c r="R8" s="16">
        <v>8.0334878418E-4</v>
      </c>
      <c r="S8" s="16">
        <v>44.63032606175658</v>
      </c>
      <c r="V8" s="16">
        <v>0.64</v>
      </c>
      <c r="W8" s="16">
        <v>1.0</v>
      </c>
    </row>
    <row r="9" ht="12.75" customHeight="1">
      <c r="C9" s="8">
        <f t="shared" si="1"/>
        <v>31.0834892</v>
      </c>
      <c r="D9" s="8">
        <f t="shared" si="2"/>
        <v>-1.580004984</v>
      </c>
      <c r="E9" s="8">
        <f t="shared" si="3"/>
        <v>1.161153376</v>
      </c>
      <c r="F9" s="8">
        <f t="shared" si="4"/>
        <v>0.000842965343</v>
      </c>
      <c r="G9" s="17">
        <f t="shared" si="5"/>
        <v>30.66548056</v>
      </c>
      <c r="H9" s="3">
        <v>-93.0</v>
      </c>
      <c r="I9" s="18">
        <f t="shared" si="6"/>
        <v>0.003066548056</v>
      </c>
      <c r="N9" s="16"/>
      <c r="O9" s="16">
        <v>48.3230714495713</v>
      </c>
      <c r="P9" s="16">
        <v>-2.8835090957559</v>
      </c>
      <c r="Q9" s="16">
        <v>1.93950893617188</v>
      </c>
      <c r="R9" s="16">
        <v>8.4296534299E-4</v>
      </c>
      <c r="S9" s="16">
        <v>47.37991425533028</v>
      </c>
      <c r="V9" s="16">
        <v>0.64</v>
      </c>
      <c r="W9" s="16">
        <v>1.0</v>
      </c>
    </row>
    <row r="10" ht="12.75" customHeight="1">
      <c r="C10" s="8">
        <f t="shared" si="1"/>
        <v>32.8909724</v>
      </c>
      <c r="D10" s="8">
        <f t="shared" si="2"/>
        <v>-1.670256742</v>
      </c>
      <c r="E10" s="8">
        <f t="shared" si="3"/>
        <v>1.223599234</v>
      </c>
      <c r="F10" s="8">
        <f t="shared" si="4"/>
        <v>0.0008825819018</v>
      </c>
      <c r="G10" s="17">
        <f t="shared" si="5"/>
        <v>32.44519747</v>
      </c>
      <c r="H10" s="3">
        <v>-92.0</v>
      </c>
      <c r="I10" s="18">
        <f t="shared" si="6"/>
        <v>0.003244519747</v>
      </c>
      <c r="N10" s="16"/>
      <c r="O10" s="16">
        <v>51.1330243158059</v>
      </c>
      <c r="P10" s="16">
        <v>-3.0482185533478</v>
      </c>
      <c r="Q10" s="16">
        <v>2.04381410454416</v>
      </c>
      <c r="R10" s="16">
        <v>8.8258190179E-4</v>
      </c>
      <c r="S10" s="16">
        <v>50.12950244890405</v>
      </c>
      <c r="V10" s="16">
        <v>0.64</v>
      </c>
      <c r="W10" s="16">
        <v>1.0</v>
      </c>
    </row>
    <row r="11" ht="12.75" customHeight="1">
      <c r="C11" s="8">
        <f t="shared" si="1"/>
        <v>35.3701048</v>
      </c>
      <c r="D11" s="8">
        <f t="shared" si="2"/>
        <v>-1.794782503</v>
      </c>
      <c r="E11" s="8">
        <f t="shared" si="3"/>
        <v>1.309091002</v>
      </c>
      <c r="F11" s="8">
        <f t="shared" si="4"/>
        <v>0.0009036632736</v>
      </c>
      <c r="G11" s="17">
        <f t="shared" si="5"/>
        <v>34.88531697</v>
      </c>
      <c r="H11" s="3">
        <v>-91.0</v>
      </c>
      <c r="I11" s="18">
        <f t="shared" si="6"/>
        <v>0.003488531697</v>
      </c>
      <c r="J11" s="8" t="s">
        <v>51</v>
      </c>
      <c r="N11" s="16"/>
      <c r="O11" s="16">
        <v>54.9871377206887</v>
      </c>
      <c r="P11" s="16">
        <v>-3.2754780684879</v>
      </c>
      <c r="Q11" s="16">
        <v>2.18661354257948</v>
      </c>
      <c r="R11" s="16">
        <v>9.0366327356E-4</v>
      </c>
      <c r="S11" s="16">
        <v>53.89917685805384</v>
      </c>
      <c r="V11" s="16">
        <v>0.64</v>
      </c>
      <c r="W11" s="16">
        <v>1.0</v>
      </c>
    </row>
    <row r="12" ht="12.75" customHeight="1">
      <c r="C12" s="8">
        <f t="shared" si="1"/>
        <v>40.27172718</v>
      </c>
      <c r="D12" s="8">
        <f t="shared" si="2"/>
        <v>-2.042927008</v>
      </c>
      <c r="E12" s="8">
        <f t="shared" si="3"/>
        <v>1.47770427</v>
      </c>
      <c r="F12" s="8">
        <f t="shared" si="4"/>
        <v>0.0008578923304</v>
      </c>
      <c r="G12" s="17">
        <f t="shared" si="5"/>
        <v>39.70736233</v>
      </c>
      <c r="H12" s="3">
        <v>-90.0</v>
      </c>
      <c r="I12" s="18">
        <f t="shared" si="6"/>
        <v>0.003970736233</v>
      </c>
      <c r="N12" s="16"/>
      <c r="O12" s="16">
        <v>62.6073069545033</v>
      </c>
      <c r="P12" s="16">
        <v>-3.7283417892166</v>
      </c>
      <c r="Q12" s="16">
        <v>2.46825328656303</v>
      </c>
      <c r="R12" s="16">
        <v>8.5789233036E-4</v>
      </c>
      <c r="S12" s="16">
        <v>61.348076344180086</v>
      </c>
      <c r="V12" s="16">
        <v>0.64</v>
      </c>
      <c r="W12" s="16">
        <v>1.0</v>
      </c>
    </row>
    <row r="13" ht="12.75" customHeight="1">
      <c r="C13" s="8">
        <f t="shared" si="1"/>
        <v>45.17334955</v>
      </c>
      <c r="D13" s="8">
        <f t="shared" si="2"/>
        <v>-2.291071512</v>
      </c>
      <c r="E13" s="8">
        <f t="shared" si="3"/>
        <v>1.646317538</v>
      </c>
      <c r="F13" s="8">
        <f t="shared" si="4"/>
        <v>0.0008121213872</v>
      </c>
      <c r="G13" s="17">
        <f t="shared" si="5"/>
        <v>44.5294077</v>
      </c>
      <c r="H13" s="3">
        <v>-89.0</v>
      </c>
      <c r="I13" s="18">
        <f t="shared" si="6"/>
        <v>0.00445294077</v>
      </c>
      <c r="N13" s="16"/>
      <c r="O13" s="16">
        <v>70.2274761883178</v>
      </c>
      <c r="P13" s="16">
        <v>-4.1812055099454</v>
      </c>
      <c r="Q13" s="16">
        <v>2.74989303054658</v>
      </c>
      <c r="R13" s="16">
        <v>8.1212138716E-4</v>
      </c>
      <c r="S13" s="16">
        <v>68.79697583030612</v>
      </c>
      <c r="V13" s="16">
        <v>0.64</v>
      </c>
      <c r="W13" s="16">
        <v>1.0</v>
      </c>
    </row>
    <row r="14" ht="12.75" customHeight="1">
      <c r="C14" s="8">
        <f t="shared" si="1"/>
        <v>50.07497192</v>
      </c>
      <c r="D14" s="8">
        <f t="shared" si="2"/>
        <v>-2.539216017</v>
      </c>
      <c r="E14" s="8">
        <f t="shared" si="3"/>
        <v>1.814930806</v>
      </c>
      <c r="F14" s="8">
        <f t="shared" si="4"/>
        <v>0.000766350444</v>
      </c>
      <c r="G14" s="17">
        <f t="shared" si="5"/>
        <v>49.35145306</v>
      </c>
      <c r="H14" s="3">
        <v>-88.0</v>
      </c>
      <c r="I14" s="18">
        <f t="shared" si="6"/>
        <v>0.004935145306</v>
      </c>
      <c r="N14" s="16"/>
      <c r="O14" s="16">
        <v>77.8476454221323</v>
      </c>
      <c r="P14" s="16">
        <v>-4.6340692306742</v>
      </c>
      <c r="Q14" s="16">
        <v>3.03153277453013</v>
      </c>
      <c r="R14" s="16">
        <v>7.6635044396E-4</v>
      </c>
      <c r="S14" s="16">
        <v>76.24587531643219</v>
      </c>
      <c r="V14" s="16">
        <v>0.64</v>
      </c>
      <c r="W14" s="16">
        <v>1.0</v>
      </c>
    </row>
    <row r="15" ht="12.75" customHeight="1">
      <c r="C15" s="8">
        <f t="shared" si="1"/>
        <v>54.97659429</v>
      </c>
      <c r="D15" s="8">
        <f t="shared" si="2"/>
        <v>-2.787360521</v>
      </c>
      <c r="E15" s="8">
        <f t="shared" si="3"/>
        <v>1.983544074</v>
      </c>
      <c r="F15" s="8">
        <f t="shared" si="4"/>
        <v>0.0007205795008</v>
      </c>
      <c r="G15" s="17">
        <f t="shared" si="5"/>
        <v>54.17349842</v>
      </c>
      <c r="H15" s="3">
        <v>-87.0</v>
      </c>
      <c r="I15" s="18">
        <f t="shared" si="6"/>
        <v>0.005417349842</v>
      </c>
      <c r="N15" s="16"/>
      <c r="O15" s="16">
        <v>85.4678146559469</v>
      </c>
      <c r="P15" s="16">
        <v>-5.086932951403</v>
      </c>
      <c r="Q15" s="16">
        <v>3.31317251851368</v>
      </c>
      <c r="R15" s="16">
        <v>7.2057950076E-4</v>
      </c>
      <c r="S15" s="16">
        <v>83.69477480255834</v>
      </c>
      <c r="V15" s="16">
        <v>0.64</v>
      </c>
      <c r="W15" s="16">
        <v>1.0</v>
      </c>
    </row>
    <row r="16" ht="12.75" customHeight="1">
      <c r="C16" s="8">
        <f t="shared" si="1"/>
        <v>59.87821666</v>
      </c>
      <c r="D16" s="8">
        <f t="shared" si="2"/>
        <v>-3.035505026</v>
      </c>
      <c r="E16" s="8">
        <f t="shared" si="3"/>
        <v>2.152157341</v>
      </c>
      <c r="F16" s="8">
        <f t="shared" si="4"/>
        <v>0.0006748085576</v>
      </c>
      <c r="G16" s="17">
        <f t="shared" si="5"/>
        <v>58.99554379</v>
      </c>
      <c r="H16" s="3">
        <v>-86.0</v>
      </c>
      <c r="I16" s="18">
        <f t="shared" si="6"/>
        <v>0.005899554379</v>
      </c>
      <c r="N16" s="16"/>
      <c r="O16" s="16">
        <v>93.0879838897614</v>
      </c>
      <c r="P16" s="16">
        <v>-5.5397966721318</v>
      </c>
      <c r="Q16" s="16">
        <v>3.59481226249723</v>
      </c>
      <c r="R16" s="16">
        <v>6.7480855756E-4</v>
      </c>
      <c r="S16" s="16">
        <v>91.1436742886844</v>
      </c>
      <c r="V16" s="16">
        <v>0.64</v>
      </c>
      <c r="W16" s="16">
        <v>1.0</v>
      </c>
    </row>
    <row r="17" ht="12.75" customHeight="1">
      <c r="C17" s="8">
        <f t="shared" si="1"/>
        <v>64.77983904</v>
      </c>
      <c r="D17" s="8">
        <f t="shared" si="2"/>
        <v>-3.28364953</v>
      </c>
      <c r="E17" s="8">
        <f t="shared" si="3"/>
        <v>2.320770609</v>
      </c>
      <c r="F17" s="8">
        <f t="shared" si="4"/>
        <v>0.0006290376144</v>
      </c>
      <c r="G17" s="17">
        <f t="shared" si="5"/>
        <v>63.81758915</v>
      </c>
      <c r="H17" s="3">
        <v>-85.0</v>
      </c>
      <c r="I17" s="18">
        <f t="shared" si="6"/>
        <v>0.006381758915</v>
      </c>
      <c r="N17" s="16"/>
      <c r="O17" s="16">
        <v>100.708153123576</v>
      </c>
      <c r="P17" s="16">
        <v>-5.9926603928606</v>
      </c>
      <c r="Q17" s="16">
        <v>3.87645200648078</v>
      </c>
      <c r="R17" s="16">
        <v>6.2903761436E-4</v>
      </c>
      <c r="S17" s="16">
        <v>98.59257377481053</v>
      </c>
      <c r="V17" s="16">
        <v>0.64</v>
      </c>
      <c r="W17" s="16">
        <v>1.0</v>
      </c>
    </row>
    <row r="18" ht="12.75" customHeight="1">
      <c r="C18" s="8">
        <f t="shared" si="1"/>
        <v>69.68146141</v>
      </c>
      <c r="D18" s="8">
        <f t="shared" si="2"/>
        <v>-3.531794035</v>
      </c>
      <c r="E18" s="8">
        <f t="shared" si="3"/>
        <v>2.489383877</v>
      </c>
      <c r="F18" s="8">
        <f t="shared" si="4"/>
        <v>0.0005832666712</v>
      </c>
      <c r="G18" s="17">
        <f t="shared" si="5"/>
        <v>68.63963452</v>
      </c>
      <c r="H18" s="3">
        <v>-84.0</v>
      </c>
      <c r="I18" s="18">
        <f t="shared" si="6"/>
        <v>0.006863963452</v>
      </c>
      <c r="N18" s="16"/>
      <c r="O18" s="16">
        <v>108.32832235739</v>
      </c>
      <c r="P18" s="16">
        <v>-6.4455241135894</v>
      </c>
      <c r="Q18" s="16">
        <v>4.15809175046432</v>
      </c>
      <c r="R18" s="16">
        <v>5.8326667116E-4</v>
      </c>
      <c r="S18" s="16">
        <v>106.04147326093607</v>
      </c>
      <c r="V18" s="16">
        <v>0.64</v>
      </c>
      <c r="W18" s="16">
        <v>1.0</v>
      </c>
    </row>
    <row r="19" ht="12.75" customHeight="1">
      <c r="C19" s="8">
        <f t="shared" si="1"/>
        <v>74.58308378</v>
      </c>
      <c r="D19" s="8">
        <f t="shared" si="2"/>
        <v>-3.779938539</v>
      </c>
      <c r="E19" s="8">
        <f t="shared" si="3"/>
        <v>2.657997145</v>
      </c>
      <c r="F19" s="8">
        <f t="shared" si="4"/>
        <v>0.000537495728</v>
      </c>
      <c r="G19" s="17">
        <f t="shared" si="5"/>
        <v>73.46167988</v>
      </c>
      <c r="H19" s="3">
        <v>-83.0</v>
      </c>
      <c r="I19" s="18">
        <f t="shared" si="6"/>
        <v>0.007346167988</v>
      </c>
      <c r="N19" s="16"/>
      <c r="O19" s="16">
        <v>115.948491591205</v>
      </c>
      <c r="P19" s="16">
        <v>-6.8983878343182</v>
      </c>
      <c r="Q19" s="16">
        <v>4.43973149444787</v>
      </c>
      <c r="R19" s="16">
        <v>5.3749572796E-4</v>
      </c>
      <c r="S19" s="16">
        <v>113.49037274706262</v>
      </c>
      <c r="V19" s="16">
        <v>0.64</v>
      </c>
      <c r="W19" s="16">
        <v>1.0</v>
      </c>
    </row>
    <row r="20" ht="12.75" customHeight="1">
      <c r="C20" s="8">
        <f t="shared" si="1"/>
        <v>79.48470615</v>
      </c>
      <c r="D20" s="8">
        <f t="shared" si="2"/>
        <v>-4.028083044</v>
      </c>
      <c r="E20" s="8">
        <f t="shared" si="3"/>
        <v>2.826610412</v>
      </c>
      <c r="F20" s="8">
        <f t="shared" si="4"/>
        <v>0.0004917247848</v>
      </c>
      <c r="G20" s="17">
        <f t="shared" si="5"/>
        <v>78.28372525</v>
      </c>
      <c r="H20" s="3">
        <v>-82.0</v>
      </c>
      <c r="I20" s="18">
        <f t="shared" si="6"/>
        <v>0.007828372525</v>
      </c>
      <c r="N20" s="16"/>
      <c r="O20" s="16">
        <v>123.56866082502</v>
      </c>
      <c r="P20" s="16">
        <v>-7.351251555047</v>
      </c>
      <c r="Q20" s="16">
        <v>4.72137123843142</v>
      </c>
      <c r="R20" s="16">
        <v>4.9172478476E-4</v>
      </c>
      <c r="S20" s="16">
        <v>120.93927223318919</v>
      </c>
      <c r="V20" s="16">
        <v>0.64</v>
      </c>
      <c r="W20" s="16">
        <v>1.0</v>
      </c>
    </row>
    <row r="21" ht="12.75" customHeight="1">
      <c r="C21" s="8">
        <f t="shared" si="1"/>
        <v>86.29138781</v>
      </c>
      <c r="D21" s="8">
        <f t="shared" si="2"/>
        <v>-4.374913391</v>
      </c>
      <c r="E21" s="8">
        <f t="shared" si="3"/>
        <v>3.061711592</v>
      </c>
      <c r="F21" s="8">
        <f t="shared" si="4"/>
        <v>0.0004622738952</v>
      </c>
      <c r="G21" s="17">
        <f t="shared" si="5"/>
        <v>84.97864829</v>
      </c>
      <c r="H21" s="3">
        <v>-81.0</v>
      </c>
      <c r="I21" s="18">
        <f t="shared" si="6"/>
        <v>0.008497864829</v>
      </c>
      <c r="N21" s="16"/>
      <c r="O21" s="16">
        <v>134.150476851635</v>
      </c>
      <c r="P21" s="16">
        <v>-7.9842169385444</v>
      </c>
      <c r="Q21" s="16">
        <v>5.11406771396663</v>
      </c>
      <c r="R21" s="16">
        <v>4.622738952E-4</v>
      </c>
      <c r="S21" s="16">
        <v>131.28078990095244</v>
      </c>
      <c r="V21" s="16">
        <v>0.64</v>
      </c>
      <c r="W21" s="16">
        <v>1.0</v>
      </c>
    </row>
    <row r="22" ht="12.75" customHeight="1">
      <c r="C22" s="8">
        <f t="shared" si="1"/>
        <v>97.00618151</v>
      </c>
      <c r="D22" s="8">
        <f t="shared" si="2"/>
        <v>-4.924191679</v>
      </c>
      <c r="E22" s="8">
        <f t="shared" si="3"/>
        <v>3.433208635</v>
      </c>
      <c r="F22" s="8">
        <f t="shared" si="4"/>
        <v>0.0004663025926</v>
      </c>
      <c r="G22" s="17">
        <f t="shared" si="5"/>
        <v>95.51566477</v>
      </c>
      <c r="H22" s="3">
        <v>-80.0</v>
      </c>
      <c r="I22" s="18">
        <f t="shared" si="6"/>
        <v>0.009551566477</v>
      </c>
      <c r="N22" s="16"/>
      <c r="O22" s="16">
        <v>150.807929236979</v>
      </c>
      <c r="P22" s="16">
        <v>-8.9866498133188</v>
      </c>
      <c r="Q22" s="16">
        <v>5.73459024821244</v>
      </c>
      <c r="R22" s="16">
        <v>4.6630259256E-4</v>
      </c>
      <c r="S22" s="16">
        <v>147.5563359744652</v>
      </c>
      <c r="V22" s="16">
        <v>0.64</v>
      </c>
      <c r="W22" s="16">
        <v>1.0</v>
      </c>
    </row>
    <row r="23" ht="12.75" customHeight="1">
      <c r="C23" s="8">
        <f t="shared" si="1"/>
        <v>107.7209752</v>
      </c>
      <c r="D23" s="8">
        <f t="shared" si="2"/>
        <v>-5.473469966</v>
      </c>
      <c r="E23" s="8">
        <f t="shared" si="3"/>
        <v>3.804705679</v>
      </c>
      <c r="F23" s="8">
        <f t="shared" si="4"/>
        <v>0.0004703312899</v>
      </c>
      <c r="G23" s="17">
        <f t="shared" si="5"/>
        <v>106.0526812</v>
      </c>
      <c r="H23" s="3">
        <v>-79.0</v>
      </c>
      <c r="I23" s="18">
        <f t="shared" si="6"/>
        <v>0.01060526812</v>
      </c>
      <c r="N23" s="16"/>
      <c r="O23" s="16">
        <v>167.465381622322</v>
      </c>
      <c r="P23" s="16">
        <v>-9.9890826880931</v>
      </c>
      <c r="Q23" s="16">
        <v>6.35511278245825</v>
      </c>
      <c r="R23" s="16">
        <v>4.7033128991E-4</v>
      </c>
      <c r="S23" s="16">
        <v>163.83188204797707</v>
      </c>
      <c r="V23" s="16">
        <v>0.64</v>
      </c>
      <c r="W23" s="16">
        <v>1.0</v>
      </c>
    </row>
    <row r="24" ht="12.75" customHeight="1">
      <c r="C24" s="8">
        <f t="shared" si="1"/>
        <v>118.4357689</v>
      </c>
      <c r="D24" s="8">
        <f t="shared" si="2"/>
        <v>-6.022748254</v>
      </c>
      <c r="E24" s="8">
        <f t="shared" si="3"/>
        <v>4.176202723</v>
      </c>
      <c r="F24" s="8">
        <f t="shared" si="4"/>
        <v>0.0004743599873</v>
      </c>
      <c r="G24" s="17">
        <f t="shared" si="5"/>
        <v>116.5896977</v>
      </c>
      <c r="H24" s="3">
        <v>-78.0</v>
      </c>
      <c r="I24" s="18">
        <f t="shared" si="6"/>
        <v>0.01165896977</v>
      </c>
      <c r="N24" s="16"/>
      <c r="O24" s="16">
        <v>184.122834007666</v>
      </c>
      <c r="P24" s="16">
        <v>-10.991515562867</v>
      </c>
      <c r="Q24" s="16">
        <v>6.97563531670406</v>
      </c>
      <c r="R24" s="16">
        <v>4.7435998727E-4</v>
      </c>
      <c r="S24" s="16">
        <v>180.10742812149033</v>
      </c>
      <c r="V24" s="16">
        <v>0.64</v>
      </c>
      <c r="W24" s="16">
        <v>1.0</v>
      </c>
    </row>
    <row r="25" ht="12.75" customHeight="1">
      <c r="C25" s="8">
        <f t="shared" si="1"/>
        <v>129.1505626</v>
      </c>
      <c r="D25" s="8">
        <f t="shared" si="2"/>
        <v>-6.572026541</v>
      </c>
      <c r="E25" s="8">
        <f t="shared" si="3"/>
        <v>4.547699766</v>
      </c>
      <c r="F25" s="8">
        <f t="shared" si="4"/>
        <v>0.0004783886846</v>
      </c>
      <c r="G25" s="17">
        <f t="shared" si="5"/>
        <v>127.1267142</v>
      </c>
      <c r="H25" s="3">
        <v>-77.0</v>
      </c>
      <c r="I25" s="18">
        <f t="shared" si="6"/>
        <v>0.01271267142</v>
      </c>
      <c r="N25" s="16"/>
      <c r="O25" s="16">
        <v>200.78028639301</v>
      </c>
      <c r="P25" s="16">
        <v>-11.993948437642</v>
      </c>
      <c r="Q25" s="16">
        <v>7.59615785094987</v>
      </c>
      <c r="R25" s="16">
        <v>4.7838868463E-4</v>
      </c>
      <c r="S25" s="16">
        <v>196.3829741950025</v>
      </c>
      <c r="V25" s="16">
        <v>0.64</v>
      </c>
      <c r="W25" s="16">
        <v>1.0</v>
      </c>
    </row>
    <row r="26" ht="12.75" customHeight="1">
      <c r="C26" s="8">
        <f t="shared" si="1"/>
        <v>144.4084866</v>
      </c>
      <c r="D26" s="8">
        <f t="shared" si="2"/>
        <v>-7.359556552</v>
      </c>
      <c r="E26" s="8">
        <f t="shared" si="3"/>
        <v>5.079467523</v>
      </c>
      <c r="F26" s="8">
        <f t="shared" si="4"/>
        <v>0.0002416056585</v>
      </c>
      <c r="G26" s="17">
        <f t="shared" si="5"/>
        <v>142.1286392</v>
      </c>
      <c r="H26" s="3">
        <v>-76.0</v>
      </c>
      <c r="I26" s="18">
        <f t="shared" si="6"/>
        <v>0.01421286392</v>
      </c>
      <c r="N26" s="16"/>
      <c r="O26" s="16">
        <v>224.500588382944</v>
      </c>
      <c r="P26" s="16">
        <v>-13.431190707773</v>
      </c>
      <c r="Q26" s="16">
        <v>8.48438531392844</v>
      </c>
      <c r="R26" s="16">
        <v>2.4160565847E-4</v>
      </c>
      <c r="S26" s="16">
        <v>219.5540245947579</v>
      </c>
      <c r="V26" s="16">
        <v>0.64</v>
      </c>
      <c r="W26" s="16">
        <v>1.0</v>
      </c>
    </row>
    <row r="27" ht="12.75" customHeight="1">
      <c r="C27" s="8">
        <f t="shared" si="1"/>
        <v>166.9841332</v>
      </c>
      <c r="D27" s="8">
        <f t="shared" si="2"/>
        <v>-8.530844001</v>
      </c>
      <c r="E27" s="8">
        <f t="shared" si="3"/>
        <v>5.869386944</v>
      </c>
      <c r="F27" s="8">
        <f t="shared" si="4"/>
        <v>-0.0003830582557</v>
      </c>
      <c r="G27" s="17">
        <f t="shared" si="5"/>
        <v>164.3222931</v>
      </c>
      <c r="H27" s="3">
        <v>-75.0</v>
      </c>
      <c r="I27" s="18">
        <f t="shared" si="6"/>
        <v>0.01643222931</v>
      </c>
      <c r="N27" s="16"/>
      <c r="O27" s="16">
        <v>259.597181927125</v>
      </c>
      <c r="P27" s="16">
        <v>-15.568790302359</v>
      </c>
      <c r="Q27" s="16">
        <v>9.80381115861874</v>
      </c>
      <c r="R27" s="16">
        <v>-3.830582557E-4</v>
      </c>
      <c r="S27" s="16">
        <v>253.83181972512907</v>
      </c>
      <c r="V27" s="16">
        <v>0.64</v>
      </c>
      <c r="W27" s="16">
        <v>1.0</v>
      </c>
    </row>
    <row r="28" ht="12.75" customHeight="1">
      <c r="C28" s="8">
        <f t="shared" si="1"/>
        <v>189.5597799</v>
      </c>
      <c r="D28" s="8">
        <f t="shared" si="2"/>
        <v>-9.70213145</v>
      </c>
      <c r="E28" s="8">
        <f t="shared" si="3"/>
        <v>6.659306364</v>
      </c>
      <c r="F28" s="8">
        <f t="shared" si="4"/>
        <v>-0.00100772217</v>
      </c>
      <c r="G28" s="17">
        <f t="shared" si="5"/>
        <v>186.5159471</v>
      </c>
      <c r="H28" s="3">
        <v>-74.0</v>
      </c>
      <c r="I28" s="18">
        <f t="shared" si="6"/>
        <v>0.01865159471</v>
      </c>
      <c r="N28" s="16"/>
      <c r="O28" s="16">
        <v>294.693775471307</v>
      </c>
      <c r="P28" s="16">
        <v>-17.706389896946</v>
      </c>
      <c r="Q28" s="16">
        <v>11.123237003309</v>
      </c>
      <c r="R28" s="16">
        <v>-0.00100772217</v>
      </c>
      <c r="S28" s="16">
        <v>288.10961485549996</v>
      </c>
      <c r="V28" s="16">
        <v>0.64</v>
      </c>
      <c r="W28" s="16">
        <v>1.0</v>
      </c>
    </row>
    <row r="29" ht="12.75" customHeight="1">
      <c r="C29" s="8">
        <f t="shared" si="1"/>
        <v>212.1354266</v>
      </c>
      <c r="D29" s="8">
        <f t="shared" si="2"/>
        <v>-10.8734189</v>
      </c>
      <c r="E29" s="8">
        <f t="shared" si="3"/>
        <v>7.449225784</v>
      </c>
      <c r="F29" s="8">
        <f t="shared" si="4"/>
        <v>-0.001632386084</v>
      </c>
      <c r="G29" s="17">
        <f t="shared" si="5"/>
        <v>208.7096011</v>
      </c>
      <c r="H29" s="3">
        <v>-73.0</v>
      </c>
      <c r="I29" s="18">
        <f t="shared" si="6"/>
        <v>0.02087096011</v>
      </c>
      <c r="N29" s="16"/>
      <c r="O29" s="16">
        <v>329.790369015488</v>
      </c>
      <c r="P29" s="16">
        <v>-19.843989491533</v>
      </c>
      <c r="Q29" s="16">
        <v>12.4426628479993</v>
      </c>
      <c r="R29" s="16">
        <v>-0.001632386084</v>
      </c>
      <c r="S29" s="16">
        <v>322.3874099858703</v>
      </c>
      <c r="V29" s="16">
        <v>0.64</v>
      </c>
      <c r="W29" s="16">
        <v>1.0</v>
      </c>
    </row>
    <row r="30" ht="12.75" customHeight="1">
      <c r="C30" s="8">
        <f t="shared" si="1"/>
        <v>234.7110732</v>
      </c>
      <c r="D30" s="8">
        <f t="shared" si="2"/>
        <v>-12.04470635</v>
      </c>
      <c r="E30" s="8">
        <f t="shared" si="3"/>
        <v>8.239145204</v>
      </c>
      <c r="F30" s="8">
        <f t="shared" si="4"/>
        <v>-0.002257049998</v>
      </c>
      <c r="G30" s="17">
        <f t="shared" si="5"/>
        <v>230.903255</v>
      </c>
      <c r="H30" s="3">
        <v>-72.0</v>
      </c>
      <c r="I30" s="18">
        <f t="shared" si="6"/>
        <v>0.0230903255</v>
      </c>
      <c r="N30" s="16"/>
      <c r="O30" s="16">
        <v>364.88696255967</v>
      </c>
      <c r="P30" s="16">
        <v>-21.981589086119</v>
      </c>
      <c r="Q30" s="16">
        <v>13.7620886926896</v>
      </c>
      <c r="R30" s="16">
        <v>-0.002257049998</v>
      </c>
      <c r="S30" s="16">
        <v>356.6652051162426</v>
      </c>
      <c r="V30" s="16">
        <v>0.64</v>
      </c>
      <c r="W30" s="16">
        <v>1.0</v>
      </c>
    </row>
    <row r="31" ht="12.75" customHeight="1">
      <c r="C31" s="8">
        <f t="shared" si="1"/>
        <v>272.6307801</v>
      </c>
      <c r="D31" s="8">
        <f t="shared" si="2"/>
        <v>-14.01806771</v>
      </c>
      <c r="E31" s="8">
        <f t="shared" si="3"/>
        <v>9.569465694</v>
      </c>
      <c r="F31" s="8">
        <f t="shared" si="4"/>
        <v>-0.003392988325</v>
      </c>
      <c r="G31" s="17">
        <f t="shared" si="5"/>
        <v>268.1787851</v>
      </c>
      <c r="H31" s="3">
        <v>-71.0</v>
      </c>
      <c r="I31" s="18">
        <f t="shared" si="6"/>
        <v>0.02681787851</v>
      </c>
      <c r="N31" s="16"/>
      <c r="O31" s="16">
        <v>423.837767367518</v>
      </c>
      <c r="P31" s="16">
        <v>-25.582973562712</v>
      </c>
      <c r="Q31" s="16">
        <v>15.9841624778431</v>
      </c>
      <c r="R31" s="16">
        <v>-0.003392988325</v>
      </c>
      <c r="S31" s="16">
        <v>414.2355632943241</v>
      </c>
      <c r="V31" s="16">
        <v>0.64</v>
      </c>
      <c r="W31" s="16">
        <v>1.0</v>
      </c>
    </row>
    <row r="32" ht="12.75" customHeight="1">
      <c r="C32" s="8">
        <f t="shared" si="1"/>
        <v>330.209986</v>
      </c>
      <c r="D32" s="8">
        <f t="shared" si="2"/>
        <v>-17.01908217</v>
      </c>
      <c r="E32" s="8">
        <f t="shared" si="3"/>
        <v>11.5921723</v>
      </c>
      <c r="F32" s="8">
        <f t="shared" si="4"/>
        <v>-0.00518399439</v>
      </c>
      <c r="G32" s="17">
        <f t="shared" si="5"/>
        <v>324.7778921</v>
      </c>
      <c r="H32" s="3">
        <v>-70.0</v>
      </c>
      <c r="I32" s="18">
        <f t="shared" si="6"/>
        <v>0.03247778921</v>
      </c>
      <c r="N32" s="16"/>
      <c r="O32" s="16">
        <v>513.351658889758</v>
      </c>
      <c r="P32" s="16">
        <v>-31.059824965688</v>
      </c>
      <c r="Q32" s="16">
        <v>19.3627493403733</v>
      </c>
      <c r="R32" s="16">
        <v>-0.00518399439</v>
      </c>
      <c r="S32" s="16">
        <v>501.6493992700533</v>
      </c>
      <c r="V32" s="16">
        <v>0.64</v>
      </c>
      <c r="W32" s="16">
        <v>1.0</v>
      </c>
    </row>
    <row r="33" ht="12.75" customHeight="1">
      <c r="C33" s="8">
        <f t="shared" si="1"/>
        <v>387.7891919</v>
      </c>
      <c r="D33" s="8">
        <f t="shared" si="2"/>
        <v>-20.02009664</v>
      </c>
      <c r="E33" s="8">
        <f t="shared" si="3"/>
        <v>13.61487891</v>
      </c>
      <c r="F33" s="8">
        <f t="shared" si="4"/>
        <v>-0.006975000455</v>
      </c>
      <c r="G33" s="17">
        <f t="shared" si="5"/>
        <v>381.3769992</v>
      </c>
      <c r="H33" s="3">
        <v>-69.0</v>
      </c>
      <c r="I33" s="18">
        <f t="shared" si="6"/>
        <v>0.03813769992</v>
      </c>
      <c r="N33" s="16"/>
      <c r="O33" s="16">
        <v>602.865550411997</v>
      </c>
      <c r="P33" s="16">
        <v>-36.536676368664</v>
      </c>
      <c r="Q33" s="16">
        <v>22.7413362029036</v>
      </c>
      <c r="R33" s="16">
        <v>-0.006975000455</v>
      </c>
      <c r="S33" s="16">
        <v>589.0632352457817</v>
      </c>
      <c r="V33" s="16">
        <v>0.64</v>
      </c>
      <c r="W33" s="16">
        <v>1.0</v>
      </c>
    </row>
    <row r="34" ht="12.75" customHeight="1">
      <c r="C34" s="8">
        <f t="shared" si="1"/>
        <v>464.7247649</v>
      </c>
      <c r="D34" s="8">
        <f t="shared" si="2"/>
        <v>-24.04901339</v>
      </c>
      <c r="E34" s="8">
        <f t="shared" si="3"/>
        <v>16.32891583</v>
      </c>
      <c r="F34" s="8">
        <f t="shared" si="4"/>
        <v>-0.0092704312</v>
      </c>
      <c r="G34" s="17">
        <f t="shared" si="5"/>
        <v>456.9953969</v>
      </c>
      <c r="H34" s="3">
        <v>-68.0</v>
      </c>
      <c r="I34" s="18">
        <f t="shared" si="6"/>
        <v>0.04569953969</v>
      </c>
      <c r="N34" s="16"/>
      <c r="O34" s="16">
        <v>722.471273154852</v>
      </c>
      <c r="P34" s="16">
        <v>-43.889449443176</v>
      </c>
      <c r="Q34" s="16">
        <v>27.2746725899714</v>
      </c>
      <c r="R34" s="16">
        <v>-0.0092704312</v>
      </c>
      <c r="S34" s="16">
        <v>705.8472258704475</v>
      </c>
      <c r="V34" s="16">
        <v>0.64</v>
      </c>
      <c r="W34" s="16">
        <v>1.0</v>
      </c>
    </row>
    <row r="35" ht="12.75" customHeight="1">
      <c r="C35" s="8">
        <f t="shared" si="1"/>
        <v>542.3412475</v>
      </c>
      <c r="D35" s="8">
        <f t="shared" si="2"/>
        <v>-28.11408923</v>
      </c>
      <c r="E35" s="8">
        <f t="shared" si="3"/>
        <v>19.06727205</v>
      </c>
      <c r="F35" s="8">
        <f t="shared" si="4"/>
        <v>-0.01158360637</v>
      </c>
      <c r="G35" s="17">
        <f t="shared" si="5"/>
        <v>533.2828467</v>
      </c>
      <c r="H35" s="3">
        <v>-67.0</v>
      </c>
      <c r="I35" s="18">
        <f t="shared" si="6"/>
        <v>0.05332828467</v>
      </c>
      <c r="N35" s="16"/>
      <c r="O35" s="16">
        <v>843.135552838256</v>
      </c>
      <c r="P35" s="16">
        <v>-51.308212848778</v>
      </c>
      <c r="Q35" s="16">
        <v>31.8486302378336</v>
      </c>
      <c r="R35" s="16">
        <v>-0.0115836063701</v>
      </c>
      <c r="S35" s="16">
        <v>823.6643866209415</v>
      </c>
      <c r="V35" s="16">
        <v>0.64</v>
      </c>
      <c r="W35" s="16">
        <v>1.0</v>
      </c>
    </row>
    <row r="36" ht="12.75" customHeight="1">
      <c r="C36" s="8">
        <f t="shared" si="1"/>
        <v>634.994948</v>
      </c>
      <c r="D36" s="8">
        <f t="shared" si="2"/>
        <v>-32.97405739</v>
      </c>
      <c r="E36" s="8">
        <f t="shared" si="3"/>
        <v>22.33996836</v>
      </c>
      <c r="F36" s="8">
        <f t="shared" si="4"/>
        <v>-0.01460632703</v>
      </c>
      <c r="G36" s="17">
        <f t="shared" si="5"/>
        <v>624.3462526</v>
      </c>
      <c r="H36" s="3">
        <v>-66.0</v>
      </c>
      <c r="I36" s="18">
        <f t="shared" si="6"/>
        <v>0.06243462526</v>
      </c>
      <c r="N36" s="16"/>
      <c r="O36" s="16">
        <v>987.17701996848</v>
      </c>
      <c r="P36" s="16">
        <v>-60.177654737619</v>
      </c>
      <c r="Q36" s="16">
        <v>37.3151119927634</v>
      </c>
      <c r="R36" s="16">
        <v>-0.0146063270343</v>
      </c>
      <c r="S36" s="16">
        <v>964.29987089659</v>
      </c>
      <c r="V36" s="16">
        <v>0.64</v>
      </c>
      <c r="W36" s="16">
        <v>1.0</v>
      </c>
    </row>
    <row r="37" ht="12.75" customHeight="1">
      <c r="C37" s="8">
        <f t="shared" si="1"/>
        <v>743.0709618</v>
      </c>
      <c r="D37" s="8">
        <f t="shared" si="2"/>
        <v>-38.64927466</v>
      </c>
      <c r="E37" s="8">
        <f t="shared" si="3"/>
        <v>26.16068895</v>
      </c>
      <c r="F37" s="8">
        <f t="shared" si="4"/>
        <v>-0.01835676429</v>
      </c>
      <c r="G37" s="17">
        <f t="shared" si="5"/>
        <v>730.5640194</v>
      </c>
      <c r="H37" s="3">
        <v>-65.0</v>
      </c>
      <c r="I37" s="18">
        <f t="shared" si="6"/>
        <v>0.07305640194</v>
      </c>
      <c r="N37" s="16"/>
      <c r="O37" s="16">
        <v>1155.19435242704</v>
      </c>
      <c r="P37" s="16">
        <v>-70.534926247879</v>
      </c>
      <c r="Q37" s="16">
        <v>43.6969749432293</v>
      </c>
      <c r="R37" s="16">
        <v>-0.0183567642919</v>
      </c>
      <c r="S37" s="16">
        <v>1128.3380443580986</v>
      </c>
      <c r="V37" s="16">
        <v>0.64</v>
      </c>
      <c r="W37" s="16">
        <v>1.0</v>
      </c>
    </row>
    <row r="38" ht="12.75" customHeight="1">
      <c r="C38" s="8">
        <f t="shared" si="1"/>
        <v>852.6455948</v>
      </c>
      <c r="D38" s="8">
        <f t="shared" si="2"/>
        <v>-44.40372551</v>
      </c>
      <c r="E38" s="8">
        <f t="shared" si="3"/>
        <v>30.03451031</v>
      </c>
      <c r="F38" s="8">
        <f t="shared" si="4"/>
        <v>-0.02232568217</v>
      </c>
      <c r="G38" s="17">
        <f t="shared" si="5"/>
        <v>838.2540539</v>
      </c>
      <c r="H38" s="3">
        <v>-64.0</v>
      </c>
      <c r="I38" s="18">
        <f t="shared" si="6"/>
        <v>0.08382540539</v>
      </c>
      <c r="N38" s="16"/>
      <c r="O38" s="16">
        <v>1325.54147092282</v>
      </c>
      <c r="P38" s="16">
        <v>-81.036799056384</v>
      </c>
      <c r="Q38" s="16">
        <v>50.167533701361</v>
      </c>
      <c r="R38" s="16">
        <v>-0.0223256821691</v>
      </c>
      <c r="S38" s="16">
        <v>1294.6498798856278</v>
      </c>
      <c r="V38" s="16">
        <v>0.64</v>
      </c>
      <c r="W38" s="16">
        <v>1.0</v>
      </c>
    </row>
    <row r="39" ht="12.75" customHeight="1">
      <c r="C39" s="8">
        <f t="shared" si="1"/>
        <v>1030.949785</v>
      </c>
      <c r="D39" s="8">
        <f t="shared" si="2"/>
        <v>-53.79198121</v>
      </c>
      <c r="E39" s="8">
        <f t="shared" si="3"/>
        <v>36.34363562</v>
      </c>
      <c r="F39" s="8">
        <f t="shared" si="4"/>
        <v>-0.03631454177</v>
      </c>
      <c r="G39" s="17">
        <f t="shared" si="5"/>
        <v>1013.465125</v>
      </c>
      <c r="H39" s="3">
        <v>-63.0</v>
      </c>
      <c r="I39" s="18">
        <f t="shared" si="6"/>
        <v>0.1013465125</v>
      </c>
      <c r="N39" s="16"/>
      <c r="O39" s="16">
        <v>1602.73706119262</v>
      </c>
      <c r="P39" s="16">
        <v>-98.170365714551</v>
      </c>
      <c r="Q39" s="16">
        <v>60.7058529106381</v>
      </c>
      <c r="R39" s="16">
        <v>-0.0363145417661</v>
      </c>
      <c r="S39" s="16">
        <v>1565.2362338469409</v>
      </c>
      <c r="V39" s="16">
        <v>0.64</v>
      </c>
      <c r="W39" s="16">
        <v>1.0</v>
      </c>
    </row>
    <row r="40" ht="12.75" customHeight="1">
      <c r="C40" s="8">
        <f t="shared" si="1"/>
        <v>1185.303194</v>
      </c>
      <c r="D40" s="8">
        <f t="shared" si="2"/>
        <v>-62.15852985</v>
      </c>
      <c r="E40" s="8">
        <f t="shared" si="3"/>
        <v>41.94470414</v>
      </c>
      <c r="F40" s="8">
        <f t="shared" si="4"/>
        <v>-0.04950122436</v>
      </c>
      <c r="G40" s="17">
        <f t="shared" si="5"/>
        <v>1165.039867</v>
      </c>
      <c r="H40" s="3">
        <v>-62.0</v>
      </c>
      <c r="I40" s="18">
        <f t="shared" si="6"/>
        <v>0.1165039867</v>
      </c>
      <c r="N40" s="16"/>
      <c r="O40" s="16">
        <v>1842.69824258214</v>
      </c>
      <c r="P40" s="16">
        <v>-113.43931697764</v>
      </c>
      <c r="Q40" s="16">
        <v>70.0614838454122</v>
      </c>
      <c r="R40" s="16">
        <v>-0.0495012243624</v>
      </c>
      <c r="S40" s="16">
        <v>1799.2709082255499</v>
      </c>
      <c r="V40" s="16">
        <v>0.64</v>
      </c>
      <c r="W40" s="16">
        <v>1.0</v>
      </c>
    </row>
    <row r="41" ht="12.75" customHeight="1">
      <c r="C41" s="8">
        <f t="shared" si="1"/>
        <v>1410.167635</v>
      </c>
      <c r="D41" s="8">
        <f t="shared" si="2"/>
        <v>-73.91152799</v>
      </c>
      <c r="E41" s="8">
        <f t="shared" si="3"/>
        <v>49.85420185</v>
      </c>
      <c r="F41" s="8">
        <f t="shared" si="4"/>
        <v>-0.05474880895</v>
      </c>
      <c r="G41" s="17">
        <f t="shared" si="5"/>
        <v>1386.05556</v>
      </c>
      <c r="H41" s="3">
        <v>-61.0</v>
      </c>
      <c r="I41" s="18">
        <f t="shared" si="6"/>
        <v>0.138605556</v>
      </c>
      <c r="N41" s="16"/>
      <c r="O41" s="16">
        <v>2192.27741564024</v>
      </c>
      <c r="P41" s="16">
        <v>-134.88853858004</v>
      </c>
      <c r="Q41" s="16">
        <v>83.272952535159</v>
      </c>
      <c r="R41" s="16">
        <v>-0.0547488089506</v>
      </c>
      <c r="S41" s="16">
        <v>2140.607080786409</v>
      </c>
      <c r="V41" s="16">
        <v>0.64</v>
      </c>
      <c r="W41" s="16">
        <v>1.0</v>
      </c>
    </row>
    <row r="42" ht="12.75" customHeight="1">
      <c r="C42" s="8">
        <f t="shared" si="1"/>
        <v>1685.302421</v>
      </c>
      <c r="D42" s="8">
        <f t="shared" si="2"/>
        <v>-88.21744728</v>
      </c>
      <c r="E42" s="8">
        <f t="shared" si="3"/>
        <v>59.54273254</v>
      </c>
      <c r="F42" s="8">
        <f t="shared" si="4"/>
        <v>0.003381565754</v>
      </c>
      <c r="G42" s="17">
        <f t="shared" si="5"/>
        <v>1656.631088</v>
      </c>
      <c r="H42" s="3">
        <v>-60.0</v>
      </c>
      <c r="I42" s="18">
        <f t="shared" si="6"/>
        <v>0.1656631088</v>
      </c>
      <c r="N42" s="16"/>
      <c r="O42" s="16">
        <v>2620.00796502154</v>
      </c>
      <c r="P42" s="16">
        <v>-160.99684128081</v>
      </c>
      <c r="Q42" s="16">
        <v>99.4559928066383</v>
      </c>
      <c r="R42" s="16">
        <v>0.0033815657536</v>
      </c>
      <c r="S42" s="16">
        <v>2558.4704981131217</v>
      </c>
      <c r="V42" s="16">
        <v>0.64</v>
      </c>
      <c r="W42" s="16">
        <v>1.0</v>
      </c>
    </row>
    <row r="43" ht="12.75" customHeight="1">
      <c r="C43" s="8">
        <f t="shared" si="1"/>
        <v>1974.090253</v>
      </c>
      <c r="D43" s="8">
        <f t="shared" si="2"/>
        <v>-103.4055511</v>
      </c>
      <c r="E43" s="8">
        <f t="shared" si="3"/>
        <v>69.75734879</v>
      </c>
      <c r="F43" s="8">
        <f t="shared" si="4"/>
        <v>0.01462346352</v>
      </c>
      <c r="G43" s="17">
        <f t="shared" si="5"/>
        <v>1940.456675</v>
      </c>
      <c r="H43" s="3">
        <v>-59.0</v>
      </c>
      <c r="I43" s="18">
        <f t="shared" si="6"/>
        <v>0.1940456675</v>
      </c>
      <c r="N43" s="16"/>
      <c r="O43" s="16">
        <v>3068.96383940308</v>
      </c>
      <c r="P43" s="16">
        <v>-188.71513080107</v>
      </c>
      <c r="Q43" s="16">
        <v>116.51776940239</v>
      </c>
      <c r="R43" s="16">
        <v>0.01462346351635</v>
      </c>
      <c r="S43" s="16">
        <v>2996.7811014679164</v>
      </c>
      <c r="V43" s="16">
        <v>0.64</v>
      </c>
      <c r="W43" s="16">
        <v>1.0</v>
      </c>
    </row>
    <row r="44" ht="12.75" customHeight="1">
      <c r="C44" s="8">
        <f t="shared" si="1"/>
        <v>2305.871441</v>
      </c>
      <c r="D44" s="8">
        <f t="shared" si="2"/>
        <v>-120.9634995</v>
      </c>
      <c r="E44" s="8">
        <f t="shared" si="3"/>
        <v>81.4941209</v>
      </c>
      <c r="F44" s="8">
        <f t="shared" si="4"/>
        <v>-0.03382382183</v>
      </c>
      <c r="G44" s="17">
        <f t="shared" si="5"/>
        <v>2266.368239</v>
      </c>
      <c r="H44" s="3">
        <v>-58.0</v>
      </c>
      <c r="I44" s="18">
        <f t="shared" si="6"/>
        <v>0.2266368239</v>
      </c>
      <c r="N44" s="16"/>
      <c r="O44" s="16">
        <v>3584.75812322231</v>
      </c>
      <c r="P44" s="16">
        <v>-220.75838661451</v>
      </c>
      <c r="Q44" s="16">
        <v>136.122048101758</v>
      </c>
      <c r="R44" s="16">
        <v>-0.0338238218348</v>
      </c>
      <c r="S44" s="16">
        <v>3500.0879608877235</v>
      </c>
      <c r="V44" s="16">
        <v>0.64</v>
      </c>
      <c r="W44" s="16">
        <v>1.0</v>
      </c>
    </row>
    <row r="45" ht="12.75" customHeight="1">
      <c r="C45" s="8">
        <f t="shared" si="1"/>
        <v>2677.33334</v>
      </c>
      <c r="D45" s="8">
        <f t="shared" si="2"/>
        <v>-140.4723139</v>
      </c>
      <c r="E45" s="8">
        <f t="shared" si="3"/>
        <v>94.60194856</v>
      </c>
      <c r="F45" s="8">
        <f t="shared" si="4"/>
        <v>0.0005860866346</v>
      </c>
      <c r="G45" s="17">
        <f t="shared" si="5"/>
        <v>2631.46356</v>
      </c>
      <c r="H45" s="3">
        <v>-57.0</v>
      </c>
      <c r="I45" s="18">
        <f t="shared" si="6"/>
        <v>0.263146356</v>
      </c>
      <c r="N45" s="16"/>
      <c r="O45" s="16">
        <v>4162.24090614498</v>
      </c>
      <c r="P45" s="16">
        <v>-256.36197287246</v>
      </c>
      <c r="Q45" s="16">
        <v>158.016441558607</v>
      </c>
      <c r="R45" s="16">
        <v>5.8608663462E-4</v>
      </c>
      <c r="S45" s="16">
        <v>4063.8959609177614</v>
      </c>
      <c r="V45" s="16">
        <v>0.64</v>
      </c>
      <c r="W45" s="16">
        <v>1.0</v>
      </c>
    </row>
    <row r="46" ht="12.75" customHeight="1">
      <c r="C46" s="8">
        <f t="shared" si="1"/>
        <v>3093.36721</v>
      </c>
      <c r="D46" s="8">
        <f t="shared" si="2"/>
        <v>-162.3072342</v>
      </c>
      <c r="E46" s="8">
        <f t="shared" si="3"/>
        <v>109.2566828</v>
      </c>
      <c r="F46" s="8">
        <f t="shared" si="4"/>
        <v>0.05085551101</v>
      </c>
      <c r="G46" s="17">
        <f t="shared" si="5"/>
        <v>3040.367515</v>
      </c>
      <c r="H46" s="3">
        <v>-56.0</v>
      </c>
      <c r="I46" s="18">
        <f t="shared" si="6"/>
        <v>0.3040367515</v>
      </c>
      <c r="N46" s="16"/>
      <c r="O46" s="16">
        <v>4809.01625146263</v>
      </c>
      <c r="P46" s="16">
        <v>-296.2107023312</v>
      </c>
      <c r="Q46" s="16">
        <v>182.494679037396</v>
      </c>
      <c r="R46" s="16">
        <v>0.05085551100801</v>
      </c>
      <c r="S46" s="16">
        <v>4695.351083679834</v>
      </c>
      <c r="V46" s="16">
        <v>0.64</v>
      </c>
      <c r="W46" s="16">
        <v>1.0</v>
      </c>
    </row>
    <row r="47" ht="12.75" customHeight="1">
      <c r="C47" s="8">
        <f t="shared" si="1"/>
        <v>3552.594992</v>
      </c>
      <c r="D47" s="8">
        <f t="shared" si="2"/>
        <v>-186.3920482</v>
      </c>
      <c r="E47" s="8">
        <f t="shared" si="3"/>
        <v>125.2229468</v>
      </c>
      <c r="F47" s="8">
        <f t="shared" si="4"/>
        <v>-0.05569258442</v>
      </c>
      <c r="G47" s="17">
        <f t="shared" si="5"/>
        <v>3491.370198</v>
      </c>
      <c r="H47" s="3">
        <v>-55.0</v>
      </c>
      <c r="I47" s="18">
        <f t="shared" si="6"/>
        <v>0.3491370198</v>
      </c>
      <c r="N47" s="16"/>
      <c r="O47" s="16">
        <v>5522.94179414083</v>
      </c>
      <c r="P47" s="16">
        <v>-340.16548788762</v>
      </c>
      <c r="Q47" s="16">
        <v>209.163603450462</v>
      </c>
      <c r="R47" s="16">
        <v>-0.0556925844213</v>
      </c>
      <c r="S47" s="16">
        <v>5391.884217119251</v>
      </c>
      <c r="V47" s="16">
        <v>0.64</v>
      </c>
      <c r="W47" s="16">
        <v>1.0</v>
      </c>
    </row>
    <row r="48" ht="12.75" customHeight="1">
      <c r="C48" s="8">
        <f t="shared" si="1"/>
        <v>4055.128093</v>
      </c>
      <c r="D48" s="8">
        <f t="shared" si="2"/>
        <v>-212.6244819</v>
      </c>
      <c r="E48" s="8">
        <f t="shared" si="3"/>
        <v>142.6993463</v>
      </c>
      <c r="F48" s="8">
        <f t="shared" si="4"/>
        <v>-0.03498138674</v>
      </c>
      <c r="G48" s="17">
        <f t="shared" si="5"/>
        <v>3985.167976</v>
      </c>
      <c r="H48" s="3">
        <v>-54.0</v>
      </c>
      <c r="I48" s="18">
        <f t="shared" si="6"/>
        <v>0.3985167976</v>
      </c>
      <c r="N48" s="16"/>
      <c r="O48" s="16">
        <v>6304.19073246355</v>
      </c>
      <c r="P48" s="16">
        <v>-388.039679481</v>
      </c>
      <c r="Q48" s="16">
        <v>238.354952125994</v>
      </c>
      <c r="R48" s="16">
        <v>-0.0349813867354</v>
      </c>
      <c r="S48" s="16">
        <v>6154.471023721809</v>
      </c>
      <c r="V48" s="16">
        <v>0.64</v>
      </c>
      <c r="W48" s="16">
        <v>1.0</v>
      </c>
    </row>
    <row r="49" ht="12.75" customHeight="1">
      <c r="C49" s="8">
        <f t="shared" si="1"/>
        <v>4582.180462</v>
      </c>
      <c r="D49" s="8">
        <f t="shared" si="2"/>
        <v>-239.6601799</v>
      </c>
      <c r="E49" s="8">
        <f t="shared" si="3"/>
        <v>160.6947476</v>
      </c>
      <c r="F49" s="8">
        <f t="shared" si="4"/>
        <v>0.06453391543</v>
      </c>
      <c r="G49" s="17">
        <f t="shared" si="5"/>
        <v>4503.279564</v>
      </c>
      <c r="H49" s="3">
        <v>-53.0</v>
      </c>
      <c r="I49" s="18">
        <f t="shared" si="6"/>
        <v>0.4503279564</v>
      </c>
      <c r="N49" s="16"/>
      <c r="O49" s="16">
        <v>7123.55786181717</v>
      </c>
      <c r="P49" s="16">
        <v>-437.37982823941</v>
      </c>
      <c r="Q49" s="16">
        <v>268.413204856223</v>
      </c>
      <c r="R49" s="16">
        <v>0.06453391542976</v>
      </c>
      <c r="S49" s="16">
        <v>6954.655772349413</v>
      </c>
      <c r="V49" s="16">
        <v>0.64</v>
      </c>
      <c r="W49" s="16">
        <v>1.0</v>
      </c>
    </row>
    <row r="50" ht="12.75" customHeight="1">
      <c r="C50" s="8">
        <f t="shared" si="1"/>
        <v>5146.150746</v>
      </c>
      <c r="D50" s="8">
        <f t="shared" si="2"/>
        <v>-268.5722896</v>
      </c>
      <c r="E50" s="8">
        <f t="shared" si="3"/>
        <v>179.6579016</v>
      </c>
      <c r="F50" s="8">
        <f t="shared" si="4"/>
        <v>-0.04076492529</v>
      </c>
      <c r="G50" s="17">
        <f t="shared" si="5"/>
        <v>5057.195593</v>
      </c>
      <c r="H50" s="3">
        <v>-52.0</v>
      </c>
      <c r="I50" s="18">
        <f t="shared" si="6"/>
        <v>0.5057195593</v>
      </c>
      <c r="N50" s="16"/>
      <c r="O50" s="16">
        <v>8000.31838655729</v>
      </c>
      <c r="P50" s="16">
        <v>-490.14442844024</v>
      </c>
      <c r="Q50" s="16">
        <v>300.087923601652</v>
      </c>
      <c r="R50" s="16">
        <v>-0.0407649252925</v>
      </c>
      <c r="S50" s="16">
        <v>7810.221116793409</v>
      </c>
      <c r="V50" s="16">
        <v>0.64</v>
      </c>
      <c r="W50" s="16">
        <v>1.0</v>
      </c>
    </row>
    <row r="51" ht="12.75" customHeight="1">
      <c r="C51" s="8">
        <f t="shared" si="1"/>
        <v>5733.613203</v>
      </c>
      <c r="D51" s="8">
        <f t="shared" si="2"/>
        <v>-298.1536377</v>
      </c>
      <c r="E51" s="8">
        <f t="shared" si="3"/>
        <v>199.0493376</v>
      </c>
      <c r="F51" s="8">
        <f t="shared" si="4"/>
        <v>-0.02592083677</v>
      </c>
      <c r="G51" s="17">
        <f t="shared" si="5"/>
        <v>5634.482982</v>
      </c>
      <c r="H51" s="3">
        <v>-51.0</v>
      </c>
      <c r="I51" s="18">
        <f t="shared" si="6"/>
        <v>0.5634482982</v>
      </c>
      <c r="N51" s="16"/>
      <c r="O51" s="16">
        <v>8913.60035799337</v>
      </c>
      <c r="P51" s="16">
        <v>-544.13038871978</v>
      </c>
      <c r="Q51" s="16">
        <v>332.478014488403</v>
      </c>
      <c r="R51" s="16">
        <v>-0.0259208367702</v>
      </c>
      <c r="S51" s="16">
        <v>8701.922062925223</v>
      </c>
      <c r="V51" s="16">
        <v>0.64</v>
      </c>
      <c r="W51" s="16">
        <v>1.0</v>
      </c>
    </row>
    <row r="52" ht="12.75" customHeight="1">
      <c r="C52" s="8">
        <f t="shared" si="1"/>
        <v>6341.674448</v>
      </c>
      <c r="D52" s="8">
        <f t="shared" si="2"/>
        <v>-328.237209</v>
      </c>
      <c r="E52" s="8">
        <f t="shared" si="3"/>
        <v>218.6592535</v>
      </c>
      <c r="F52" s="8">
        <f t="shared" si="4"/>
        <v>0.02977677529</v>
      </c>
      <c r="G52" s="17">
        <f t="shared" si="5"/>
        <v>6232.126269</v>
      </c>
      <c r="H52" s="3">
        <v>-50.0</v>
      </c>
      <c r="I52" s="18">
        <f t="shared" si="6"/>
        <v>0.6232126269</v>
      </c>
      <c r="N52" s="16"/>
      <c r="O52" s="16">
        <v>9858.90565470274</v>
      </c>
      <c r="P52" s="16">
        <v>-599.03290645951</v>
      </c>
      <c r="Q52" s="16">
        <v>365.233038826511</v>
      </c>
      <c r="R52" s="16">
        <v>0.02977677529353</v>
      </c>
      <c r="S52" s="16">
        <v>9625.135563845033</v>
      </c>
      <c r="V52" s="16">
        <v>0.64</v>
      </c>
      <c r="W52" s="16">
        <v>1.0</v>
      </c>
    </row>
    <row r="53" ht="12.75" customHeight="1">
      <c r="C53" s="8">
        <f t="shared" si="1"/>
        <v>6964.581452</v>
      </c>
      <c r="D53" s="8">
        <f t="shared" si="2"/>
        <v>-358.4119068</v>
      </c>
      <c r="E53" s="8">
        <f t="shared" si="3"/>
        <v>238.0834843</v>
      </c>
      <c r="F53" s="8">
        <f t="shared" si="4"/>
        <v>0.0306948646</v>
      </c>
      <c r="G53" s="17">
        <f t="shared" si="5"/>
        <v>6844.283725</v>
      </c>
      <c r="H53" s="3">
        <v>-49.0</v>
      </c>
      <c r="I53" s="18">
        <f t="shared" si="6"/>
        <v>0.6844283725</v>
      </c>
      <c r="N53" s="16"/>
      <c r="O53" s="16">
        <v>10827.2904933561</v>
      </c>
      <c r="P53" s="16">
        <v>-654.10172999304</v>
      </c>
      <c r="Q53" s="16">
        <v>397.677907780731</v>
      </c>
      <c r="R53" s="16">
        <v>0.03069486460016</v>
      </c>
      <c r="S53" s="16">
        <v>10570.897366008392</v>
      </c>
      <c r="V53" s="16">
        <v>0.64</v>
      </c>
      <c r="W53" s="16">
        <v>1.0</v>
      </c>
    </row>
    <row r="54" ht="12.75" customHeight="1">
      <c r="C54" s="8">
        <f t="shared" si="1"/>
        <v>7598.025818</v>
      </c>
      <c r="D54" s="8">
        <f t="shared" si="2"/>
        <v>-388.2707922</v>
      </c>
      <c r="E54" s="8">
        <f t="shared" si="3"/>
        <v>257.0484927</v>
      </c>
      <c r="F54" s="8">
        <f t="shared" si="4"/>
        <v>0.01544609911</v>
      </c>
      <c r="G54" s="17">
        <f t="shared" si="5"/>
        <v>7466.818965</v>
      </c>
      <c r="H54" s="3">
        <v>-48.0</v>
      </c>
      <c r="I54" s="18">
        <f t="shared" si="6"/>
        <v>0.7466818965</v>
      </c>
      <c r="N54" s="16"/>
      <c r="O54" s="16">
        <v>11812.0569440392</v>
      </c>
      <c r="P54" s="16">
        <v>-708.59419583438</v>
      </c>
      <c r="Q54" s="16">
        <v>429.355724123983</v>
      </c>
      <c r="R54" s="16">
        <v>0.01544609910793</v>
      </c>
      <c r="S54" s="16">
        <v>11532.83391842791</v>
      </c>
      <c r="V54" s="16">
        <v>0.64</v>
      </c>
      <c r="W54" s="16">
        <v>1.0</v>
      </c>
    </row>
    <row r="55" ht="12.75" customHeight="1">
      <c r="C55" s="8">
        <f t="shared" si="1"/>
        <v>8240.290104</v>
      </c>
      <c r="D55" s="8">
        <f t="shared" si="2"/>
        <v>-417.5951416</v>
      </c>
      <c r="E55" s="8">
        <f t="shared" si="3"/>
        <v>275.4284558</v>
      </c>
      <c r="F55" s="8">
        <f t="shared" si="4"/>
        <v>0.04257996215</v>
      </c>
      <c r="G55" s="17">
        <f t="shared" si="5"/>
        <v>8098.165998</v>
      </c>
      <c r="H55" s="3">
        <v>-47.0</v>
      </c>
      <c r="I55" s="18">
        <f t="shared" si="6"/>
        <v>0.8098165998</v>
      </c>
      <c r="N55" s="16"/>
      <c r="O55" s="16">
        <v>12810.5350352678</v>
      </c>
      <c r="P55" s="16">
        <v>-762.11113340952</v>
      </c>
      <c r="Q55" s="16">
        <v>460.05632182651</v>
      </c>
      <c r="R55" s="16">
        <v>0.0425799621549</v>
      </c>
      <c r="S55" s="16">
        <v>12508.522803646945</v>
      </c>
      <c r="V55" s="16">
        <v>0.64</v>
      </c>
      <c r="W55" s="16">
        <v>1.0</v>
      </c>
    </row>
    <row r="56" ht="12.75" customHeight="1">
      <c r="C56" s="8">
        <f t="shared" si="1"/>
        <v>8896.921158</v>
      </c>
      <c r="D56" s="8">
        <f t="shared" si="2"/>
        <v>-446.8245215</v>
      </c>
      <c r="E56" s="8">
        <f t="shared" si="3"/>
        <v>293.4387458</v>
      </c>
      <c r="F56" s="8">
        <f t="shared" si="4"/>
        <v>0.05197798036</v>
      </c>
      <c r="G56" s="17">
        <f t="shared" si="5"/>
        <v>8743.58736</v>
      </c>
      <c r="H56" s="3">
        <v>-46.0</v>
      </c>
      <c r="I56" s="18">
        <f t="shared" si="6"/>
        <v>0.874358736</v>
      </c>
      <c r="N56" s="16"/>
      <c r="O56" s="16">
        <v>13831.3480190658</v>
      </c>
      <c r="P56" s="16">
        <v>-815.45475168985</v>
      </c>
      <c r="Q56" s="16">
        <v>490.139443494588</v>
      </c>
      <c r="R56" s="16">
        <v>0.05197798035864</v>
      </c>
      <c r="S56" s="16">
        <v>13506.084688850897</v>
      </c>
      <c r="V56" s="16">
        <v>0.64</v>
      </c>
      <c r="W56" s="16">
        <v>1.0</v>
      </c>
    </row>
    <row r="57" ht="12.75" customHeight="1">
      <c r="C57" s="8">
        <f t="shared" si="1"/>
        <v>9566.038604</v>
      </c>
      <c r="D57" s="8">
        <f t="shared" si="2"/>
        <v>-475.7927113</v>
      </c>
      <c r="E57" s="8">
        <f t="shared" si="3"/>
        <v>310.9099997</v>
      </c>
      <c r="F57" s="8">
        <f t="shared" si="4"/>
        <v>0.02924242815</v>
      </c>
      <c r="G57" s="17">
        <f t="shared" si="5"/>
        <v>9401.185135</v>
      </c>
      <c r="H57" s="3">
        <v>-45.0</v>
      </c>
      <c r="I57" s="18">
        <f t="shared" si="6"/>
        <v>0.9401185135</v>
      </c>
      <c r="N57" s="16"/>
      <c r="O57" s="16">
        <v>14871.5726196863</v>
      </c>
      <c r="P57" s="16">
        <v>-868.32169814958</v>
      </c>
      <c r="Q57" s="16">
        <v>519.322197219995</v>
      </c>
      <c r="R57" s="16">
        <v>0.02924242814858</v>
      </c>
      <c r="S57" s="16">
        <v>14522.602361184863</v>
      </c>
      <c r="V57" s="16">
        <v>0.64</v>
      </c>
      <c r="W57" s="16">
        <v>1.0</v>
      </c>
    </row>
    <row r="58" ht="12.75" customHeight="1">
      <c r="C58" s="8">
        <f t="shared" si="1"/>
        <v>10250.77955</v>
      </c>
      <c r="D58" s="8">
        <f t="shared" si="2"/>
        <v>-504.7342987</v>
      </c>
      <c r="E58" s="8">
        <f t="shared" si="3"/>
        <v>328.0339133</v>
      </c>
      <c r="F58" s="8">
        <f t="shared" si="4"/>
        <v>0.0445200701</v>
      </c>
      <c r="G58" s="17">
        <f t="shared" si="5"/>
        <v>10074.12368</v>
      </c>
      <c r="H58" s="3">
        <v>-44.0</v>
      </c>
      <c r="I58" s="18">
        <f t="shared" si="6"/>
        <v>1.007412368</v>
      </c>
      <c r="N58" s="16"/>
      <c r="O58" s="16">
        <v>15936.0858540731</v>
      </c>
      <c r="P58" s="16">
        <v>-921.14009509269</v>
      </c>
      <c r="Q58" s="16">
        <v>547.924778311571</v>
      </c>
      <c r="R58" s="16">
        <v>0.04452007009771</v>
      </c>
      <c r="S58" s="16">
        <v>15562.915057362081</v>
      </c>
      <c r="V58" s="16">
        <v>0.64</v>
      </c>
      <c r="W58" s="16">
        <v>1.0</v>
      </c>
    </row>
    <row r="59" ht="12.75" customHeight="1">
      <c r="C59" s="8">
        <f t="shared" si="1"/>
        <v>10952.66505</v>
      </c>
      <c r="D59" s="8">
        <f t="shared" si="2"/>
        <v>-533.7996534</v>
      </c>
      <c r="E59" s="8">
        <f t="shared" si="3"/>
        <v>344.8239973</v>
      </c>
      <c r="F59" s="8">
        <f t="shared" si="4"/>
        <v>0.05799501085</v>
      </c>
      <c r="G59" s="17">
        <f t="shared" si="5"/>
        <v>10763.74739</v>
      </c>
      <c r="H59" s="3">
        <v>-43.0</v>
      </c>
      <c r="I59" s="18">
        <f t="shared" si="6"/>
        <v>1.076374739</v>
      </c>
      <c r="N59" s="16"/>
      <c r="O59" s="16">
        <v>17027.252390566</v>
      </c>
      <c r="P59" s="16">
        <v>-974.18436747164</v>
      </c>
      <c r="Q59" s="16">
        <v>575.969753716687</v>
      </c>
      <c r="R59" s="16">
        <v>0.05799501085299</v>
      </c>
      <c r="S59" s="16">
        <v>16629.095771821896</v>
      </c>
      <c r="V59" s="16">
        <v>0.64</v>
      </c>
      <c r="W59" s="16">
        <v>1.0</v>
      </c>
    </row>
    <row r="60" ht="12.75" customHeight="1">
      <c r="C60" s="8">
        <f t="shared" si="1"/>
        <v>11674.13953</v>
      </c>
      <c r="D60" s="8">
        <f t="shared" si="2"/>
        <v>-563.3843877</v>
      </c>
      <c r="E60" s="8">
        <f t="shared" si="3"/>
        <v>361.489336</v>
      </c>
      <c r="F60" s="8">
        <f t="shared" si="4"/>
        <v>0.0489736029</v>
      </c>
      <c r="G60" s="17">
        <f t="shared" si="5"/>
        <v>11472.29345</v>
      </c>
      <c r="H60" s="3">
        <v>-42.0</v>
      </c>
      <c r="I60" s="18">
        <f t="shared" si="6"/>
        <v>1.147229345</v>
      </c>
      <c r="N60" s="16"/>
      <c r="O60" s="16">
        <v>18148.8723770424</v>
      </c>
      <c r="P60" s="16">
        <v>-1028.1765075386</v>
      </c>
      <c r="Q60" s="16">
        <v>603.806363352164</v>
      </c>
      <c r="R60" s="16">
        <v>0.04897360290018</v>
      </c>
      <c r="S60" s="16">
        <v>17724.551206458866</v>
      </c>
      <c r="V60" s="16">
        <v>0.64</v>
      </c>
      <c r="W60" s="16">
        <v>1.0</v>
      </c>
    </row>
    <row r="61" ht="12.75" customHeight="1">
      <c r="C61" s="8">
        <f t="shared" si="1"/>
        <v>12417.15452</v>
      </c>
      <c r="D61" s="8">
        <f t="shared" si="2"/>
        <v>-593.9120792</v>
      </c>
      <c r="E61" s="8">
        <f t="shared" si="3"/>
        <v>378.2966684</v>
      </c>
      <c r="F61" s="8">
        <f t="shared" si="4"/>
        <v>0.04038665532</v>
      </c>
      <c r="G61" s="17">
        <f t="shared" si="5"/>
        <v>12201.5795</v>
      </c>
      <c r="H61" s="3">
        <v>-41.0</v>
      </c>
      <c r="I61" s="18">
        <f t="shared" si="6"/>
        <v>1.22015795</v>
      </c>
      <c r="N61" s="16"/>
      <c r="O61" s="16">
        <v>19303.9797202522</v>
      </c>
      <c r="P61" s="16">
        <v>-1083.88954446</v>
      </c>
      <c r="Q61" s="16">
        <v>631.88014933931</v>
      </c>
      <c r="R61" s="16">
        <v>0.04038665531677</v>
      </c>
      <c r="S61" s="16">
        <v>18852.01071178683</v>
      </c>
      <c r="V61" s="16">
        <v>0.64</v>
      </c>
      <c r="W61" s="16">
        <v>1.0</v>
      </c>
    </row>
    <row r="62" ht="12.75" customHeight="1">
      <c r="C62" s="8">
        <f t="shared" si="1"/>
        <v>13180.48929</v>
      </c>
      <c r="D62" s="8">
        <f t="shared" si="2"/>
        <v>-625.5111253</v>
      </c>
      <c r="E62" s="8">
        <f t="shared" si="3"/>
        <v>395.2674698</v>
      </c>
      <c r="F62" s="8">
        <f t="shared" si="4"/>
        <v>0.0360575591</v>
      </c>
      <c r="G62" s="17">
        <f t="shared" si="5"/>
        <v>12950.28169</v>
      </c>
      <c r="H62" s="3">
        <v>-40.0</v>
      </c>
      <c r="I62" s="18">
        <f t="shared" si="6"/>
        <v>1.295028169</v>
      </c>
      <c r="N62" s="16"/>
      <c r="O62" s="16">
        <v>20490.6766295666</v>
      </c>
      <c r="P62" s="16">
        <v>-1141.5578037576</v>
      </c>
      <c r="Q62" s="16">
        <v>660.226982482158</v>
      </c>
      <c r="R62" s="16">
        <v>0.03605755909598</v>
      </c>
      <c r="S62" s="16">
        <v>20009.381865850253</v>
      </c>
      <c r="V62" s="16">
        <v>0.64</v>
      </c>
      <c r="W62" s="16">
        <v>1.0</v>
      </c>
    </row>
    <row r="63" ht="12.75" customHeight="1">
      <c r="C63" s="8">
        <f t="shared" si="1"/>
        <v>13963.27411</v>
      </c>
      <c r="D63" s="8">
        <f t="shared" si="2"/>
        <v>-658.5695882</v>
      </c>
      <c r="E63" s="8">
        <f t="shared" si="3"/>
        <v>412.6185503</v>
      </c>
      <c r="F63" s="8">
        <f t="shared" si="4"/>
        <v>0.04981324494</v>
      </c>
      <c r="G63" s="17">
        <f t="shared" si="5"/>
        <v>13717.37289</v>
      </c>
      <c r="H63" s="3">
        <v>-39.0</v>
      </c>
      <c r="I63" s="18">
        <f t="shared" si="6"/>
        <v>1.371737289</v>
      </c>
      <c r="N63" s="16"/>
      <c r="O63" s="16">
        <v>21707.6110133412</v>
      </c>
      <c r="P63" s="16">
        <v>-1201.8894985051</v>
      </c>
      <c r="Q63" s="16">
        <v>689.209007062956</v>
      </c>
      <c r="R63" s="16">
        <v>0.04981324494156</v>
      </c>
      <c r="S63" s="16">
        <v>21194.980335144</v>
      </c>
      <c r="V63" s="16">
        <v>0.64</v>
      </c>
      <c r="W63" s="16">
        <v>1.0</v>
      </c>
    </row>
    <row r="64" ht="12.75" customHeight="1">
      <c r="C64" s="8">
        <f t="shared" si="1"/>
        <v>14762.32132</v>
      </c>
      <c r="D64" s="8">
        <f t="shared" si="2"/>
        <v>-693.4267531</v>
      </c>
      <c r="E64" s="8">
        <f t="shared" si="3"/>
        <v>430.4845698</v>
      </c>
      <c r="F64" s="8">
        <f t="shared" si="4"/>
        <v>0.05496306882</v>
      </c>
      <c r="G64" s="17">
        <f t="shared" si="5"/>
        <v>14499.4341</v>
      </c>
      <c r="H64" s="3">
        <v>-38.0</v>
      </c>
      <c r="I64" s="18">
        <f t="shared" si="6"/>
        <v>1.44994341</v>
      </c>
      <c r="N64" s="16"/>
      <c r="O64" s="16">
        <v>22949.8272674534</v>
      </c>
      <c r="P64" s="16">
        <v>-1265.5038243515</v>
      </c>
      <c r="Q64" s="16">
        <v>719.051149612094</v>
      </c>
      <c r="R64" s="16">
        <v>0.05496306881832</v>
      </c>
      <c r="S64" s="16">
        <v>22403.429555782808</v>
      </c>
      <c r="V64" s="16">
        <v>0.64</v>
      </c>
      <c r="W64" s="16">
        <v>1.0</v>
      </c>
    </row>
    <row r="65" ht="12.75" customHeight="1">
      <c r="C65" s="8">
        <f t="shared" si="1"/>
        <v>15572.67514</v>
      </c>
      <c r="D65" s="8">
        <f t="shared" si="2"/>
        <v>-730.4554262</v>
      </c>
      <c r="E65" s="8">
        <f t="shared" si="3"/>
        <v>449.0515709</v>
      </c>
      <c r="F65" s="8">
        <f t="shared" si="4"/>
        <v>0.05438941239</v>
      </c>
      <c r="G65" s="17">
        <f t="shared" si="5"/>
        <v>15291.32568</v>
      </c>
      <c r="H65" s="3">
        <v>-37.0</v>
      </c>
      <c r="I65" s="18">
        <f t="shared" si="6"/>
        <v>1.529132568</v>
      </c>
      <c r="N65" s="16"/>
      <c r="O65" s="16">
        <v>24209.6210179996</v>
      </c>
      <c r="P65" s="16">
        <v>-1333.0811527587</v>
      </c>
      <c r="Q65" s="16">
        <v>750.064162308977</v>
      </c>
      <c r="R65" s="16">
        <v>0.05438941239333</v>
      </c>
      <c r="S65" s="16">
        <v>23626.658416962273</v>
      </c>
      <c r="V65" s="16">
        <v>0.64</v>
      </c>
      <c r="W65" s="16">
        <v>1.0</v>
      </c>
    </row>
    <row r="66" ht="12.75" customHeight="1">
      <c r="C66" s="8">
        <f t="shared" si="1"/>
        <v>16387.6721</v>
      </c>
      <c r="D66" s="8">
        <f t="shared" si="2"/>
        <v>-769.9816226</v>
      </c>
      <c r="E66" s="8">
        <f t="shared" si="3"/>
        <v>468.4678397</v>
      </c>
      <c r="F66" s="8">
        <f t="shared" si="4"/>
        <v>0.05754200358</v>
      </c>
      <c r="G66" s="17">
        <f t="shared" si="5"/>
        <v>16086.21586</v>
      </c>
      <c r="H66" s="3">
        <v>-36.0</v>
      </c>
      <c r="I66" s="18">
        <f t="shared" si="6"/>
        <v>1.608621586</v>
      </c>
      <c r="N66" s="16"/>
      <c r="O66" s="16">
        <v>25476.6330912977</v>
      </c>
      <c r="P66" s="16">
        <v>-1405.2164612128</v>
      </c>
      <c r="Q66" s="16">
        <v>782.495732167273</v>
      </c>
      <c r="R66" s="16">
        <v>0.05754200358497</v>
      </c>
      <c r="S66" s="16">
        <v>24853.96990425576</v>
      </c>
      <c r="V66" s="16">
        <v>0.64</v>
      </c>
      <c r="W66" s="16">
        <v>1.0</v>
      </c>
    </row>
    <row r="67" ht="12.75" customHeight="1">
      <c r="C67" s="8">
        <f t="shared" si="1"/>
        <v>17199.11727</v>
      </c>
      <c r="D67" s="8">
        <f t="shared" si="2"/>
        <v>-812.3007284</v>
      </c>
      <c r="E67" s="8">
        <f t="shared" si="3"/>
        <v>488.8316369</v>
      </c>
      <c r="F67" s="8">
        <f t="shared" si="4"/>
        <v>0.05799033572</v>
      </c>
      <c r="G67" s="17">
        <f t="shared" si="5"/>
        <v>16875.70617</v>
      </c>
      <c r="H67" s="3">
        <v>-35.0</v>
      </c>
      <c r="I67" s="18">
        <f t="shared" si="6"/>
        <v>1.687570617</v>
      </c>
      <c r="N67" s="16"/>
      <c r="O67" s="16">
        <v>26738.1234809852</v>
      </c>
      <c r="P67" s="16">
        <v>-1482.4488292441</v>
      </c>
      <c r="Q67" s="16">
        <v>816.509986886604</v>
      </c>
      <c r="R67" s="16">
        <v>0.05799033572243</v>
      </c>
      <c r="S67" s="16">
        <v>26072.242628963428</v>
      </c>
      <c r="V67" s="16">
        <v>0.64</v>
      </c>
      <c r="W67" s="16">
        <v>1.0</v>
      </c>
    </row>
    <row r="68" ht="12.75" customHeight="1">
      <c r="C68" s="8">
        <f t="shared" si="1"/>
        <v>17997.26534</v>
      </c>
      <c r="D68" s="8">
        <f t="shared" si="2"/>
        <v>-857.7614096</v>
      </c>
      <c r="E68" s="8">
        <f t="shared" si="3"/>
        <v>510.2916131</v>
      </c>
      <c r="F68" s="8">
        <f t="shared" si="4"/>
        <v>0.06074804087</v>
      </c>
      <c r="G68" s="17">
        <f t="shared" si="5"/>
        <v>17649.85629</v>
      </c>
      <c r="H68" s="3">
        <v>-34.0</v>
      </c>
      <c r="I68" s="18">
        <f t="shared" si="6"/>
        <v>1.764985629</v>
      </c>
      <c r="N68" s="16"/>
      <c r="O68" s="16">
        <v>27978.9419194659</v>
      </c>
      <c r="P68" s="16">
        <v>-1565.4145724552</v>
      </c>
      <c r="Q68" s="16">
        <v>852.355221963369</v>
      </c>
      <c r="R68" s="16">
        <v>0.06074804086595</v>
      </c>
      <c r="S68" s="16">
        <v>27265.94331701493</v>
      </c>
      <c r="V68" s="16">
        <v>0.64</v>
      </c>
      <c r="W68" s="16">
        <v>1.0</v>
      </c>
    </row>
    <row r="69" ht="12.75" customHeight="1">
      <c r="C69" s="8">
        <f t="shared" si="1"/>
        <v>18771.62477</v>
      </c>
      <c r="D69" s="8">
        <f t="shared" si="2"/>
        <v>-906.6176615</v>
      </c>
      <c r="E69" s="8">
        <f t="shared" si="3"/>
        <v>532.8923271</v>
      </c>
      <c r="F69" s="8">
        <f t="shared" si="4"/>
        <v>0.06253283203</v>
      </c>
      <c r="G69" s="17">
        <f t="shared" si="5"/>
        <v>18397.96197</v>
      </c>
      <c r="H69" s="3">
        <v>-33.0</v>
      </c>
      <c r="I69" s="18">
        <f t="shared" si="6"/>
        <v>1.839796197</v>
      </c>
      <c r="N69" s="16"/>
      <c r="O69" s="16">
        <v>29182.7780013292</v>
      </c>
      <c r="P69" s="16">
        <v>-1654.5772322829</v>
      </c>
      <c r="Q69" s="16">
        <v>890.105865074244</v>
      </c>
      <c r="R69" s="16">
        <v>0.06253283202584</v>
      </c>
      <c r="S69" s="16">
        <v>28418.369166952572</v>
      </c>
      <c r="V69" s="16">
        <v>0.64</v>
      </c>
      <c r="W69" s="16">
        <v>1.0</v>
      </c>
    </row>
    <row r="70" ht="12.75" customHeight="1">
      <c r="C70" s="8">
        <f t="shared" si="1"/>
        <v>19510.66221</v>
      </c>
      <c r="D70" s="8">
        <f t="shared" si="2"/>
        <v>-959.1844032</v>
      </c>
      <c r="E70" s="8">
        <f t="shared" si="3"/>
        <v>556.7249463</v>
      </c>
      <c r="F70" s="8">
        <f t="shared" si="4"/>
        <v>0.05985044</v>
      </c>
      <c r="G70" s="17">
        <f t="shared" si="5"/>
        <v>19108.26261</v>
      </c>
      <c r="H70" s="3">
        <v>-32.0</v>
      </c>
      <c r="I70" s="18">
        <f t="shared" si="6"/>
        <v>1.910826261</v>
      </c>
      <c r="N70" s="16"/>
      <c r="O70" s="16">
        <v>30331.7017625533</v>
      </c>
      <c r="P70" s="16">
        <v>-1750.5115359069</v>
      </c>
      <c r="Q70" s="16">
        <v>929.914196097786</v>
      </c>
      <c r="R70" s="16">
        <v>0.05985044000378</v>
      </c>
      <c r="S70" s="16">
        <v>29511.164273184193</v>
      </c>
      <c r="V70" s="16">
        <v>0.64</v>
      </c>
      <c r="W70" s="16">
        <v>1.0</v>
      </c>
    </row>
    <row r="71" ht="12.75" customHeight="1">
      <c r="C71" s="8">
        <f t="shared" si="1"/>
        <v>20202.17808</v>
      </c>
      <c r="D71" s="8">
        <f t="shared" si="2"/>
        <v>-1015.834097</v>
      </c>
      <c r="E71" s="8">
        <f t="shared" si="3"/>
        <v>581.9418686</v>
      </c>
      <c r="F71" s="8">
        <f t="shared" si="4"/>
        <v>0.06291033453</v>
      </c>
      <c r="G71" s="17">
        <f t="shared" si="5"/>
        <v>19768.34877</v>
      </c>
      <c r="H71" s="3">
        <v>-31.0</v>
      </c>
      <c r="I71" s="18">
        <f t="shared" si="6"/>
        <v>1.976834877</v>
      </c>
      <c r="N71" s="16"/>
      <c r="O71" s="16">
        <v>31406.7474412001</v>
      </c>
      <c r="P71" s="16">
        <v>-1853.8972263641</v>
      </c>
      <c r="Q71" s="16">
        <v>972.034769503751</v>
      </c>
      <c r="R71" s="16">
        <v>0.06291033452784</v>
      </c>
      <c r="S71" s="16">
        <v>30524.94789467428</v>
      </c>
      <c r="V71" s="16">
        <v>0.64</v>
      </c>
      <c r="W71" s="16">
        <v>1.0</v>
      </c>
    </row>
    <row r="72" ht="12.75" customHeight="1">
      <c r="C72" s="8">
        <f t="shared" si="1"/>
        <v>20834.41474</v>
      </c>
      <c r="D72" s="8">
        <f t="shared" si="2"/>
        <v>-1076.826977</v>
      </c>
      <c r="E72" s="8">
        <f t="shared" si="3"/>
        <v>608.5697449</v>
      </c>
      <c r="F72" s="8">
        <f t="shared" si="4"/>
        <v>0.06022510477</v>
      </c>
      <c r="G72" s="17">
        <f t="shared" si="5"/>
        <v>20366.21773</v>
      </c>
      <c r="H72" s="3">
        <v>-30.0</v>
      </c>
      <c r="I72" s="18">
        <f t="shared" si="6"/>
        <v>2.036621773</v>
      </c>
      <c r="N72" s="16"/>
      <c r="O72" s="16">
        <v>32389.6363544279</v>
      </c>
      <c r="P72" s="16">
        <v>-1965.209233311</v>
      </c>
      <c r="Q72" s="16">
        <v>1016.51210132879</v>
      </c>
      <c r="R72" s="16">
        <v>0.06022510476601</v>
      </c>
      <c r="S72" s="16">
        <v>31440.999447550457</v>
      </c>
      <c r="V72" s="16">
        <v>0.64</v>
      </c>
      <c r="W72" s="16">
        <v>1.0</v>
      </c>
    </row>
    <row r="73" ht="12.75" customHeight="1">
      <c r="C73" s="8">
        <f t="shared" si="1"/>
        <v>21395.3538</v>
      </c>
      <c r="D73" s="8">
        <f t="shared" si="2"/>
        <v>-1142.517226</v>
      </c>
      <c r="E73" s="8">
        <f t="shared" si="3"/>
        <v>636.7583402</v>
      </c>
      <c r="F73" s="8">
        <f t="shared" si="4"/>
        <v>0.05054636736</v>
      </c>
      <c r="G73" s="17">
        <f t="shared" si="5"/>
        <v>20889.64546</v>
      </c>
      <c r="H73" s="3">
        <v>-29.0</v>
      </c>
      <c r="I73" s="18">
        <f t="shared" si="6"/>
        <v>2.088964546</v>
      </c>
      <c r="N73" s="16"/>
      <c r="O73" s="16">
        <v>33261.684475385</v>
      </c>
      <c r="P73" s="16">
        <v>-2085.0939383254</v>
      </c>
      <c r="Q73" s="16">
        <v>1063.59634846334</v>
      </c>
      <c r="R73" s="16">
        <v>0.05054636735941</v>
      </c>
      <c r="S73" s="16">
        <v>32240.2374318903</v>
      </c>
      <c r="V73" s="16">
        <v>0.64</v>
      </c>
      <c r="W73" s="16">
        <v>1.0</v>
      </c>
    </row>
    <row r="74" ht="12.75" customHeight="1">
      <c r="C74" s="8">
        <f t="shared" si="1"/>
        <v>21874.69965</v>
      </c>
      <c r="D74" s="8">
        <f t="shared" si="2"/>
        <v>-1213.071352</v>
      </c>
      <c r="E74" s="8">
        <f t="shared" si="3"/>
        <v>666.4133369</v>
      </c>
      <c r="F74" s="8">
        <f t="shared" si="4"/>
        <v>0.03363829924</v>
      </c>
      <c r="G74" s="17">
        <f t="shared" si="5"/>
        <v>21328.07527</v>
      </c>
      <c r="H74" s="3">
        <v>-28.0</v>
      </c>
      <c r="I74" s="18">
        <f t="shared" si="6"/>
        <v>2.132807527</v>
      </c>
      <c r="N74" s="16"/>
      <c r="O74" s="16">
        <v>34006.8860119591</v>
      </c>
      <c r="P74" s="16">
        <v>-2213.855217211</v>
      </c>
      <c r="Q74" s="16">
        <v>1113.12996931311</v>
      </c>
      <c r="R74" s="16">
        <v>0.03363829923874</v>
      </c>
      <c r="S74" s="16">
        <v>32906.194402360445</v>
      </c>
      <c r="V74" s="16">
        <v>0.64</v>
      </c>
      <c r="W74" s="16">
        <v>1.0</v>
      </c>
    </row>
    <row r="75" ht="12.75" customHeight="1">
      <c r="C75" s="8">
        <f t="shared" si="1"/>
        <v>22262.69778</v>
      </c>
      <c r="D75" s="8">
        <f t="shared" si="2"/>
        <v>-1288.662232</v>
      </c>
      <c r="E75" s="8">
        <f t="shared" si="3"/>
        <v>697.4839795</v>
      </c>
      <c r="F75" s="8">
        <f t="shared" si="4"/>
        <v>0.01634685032</v>
      </c>
      <c r="G75" s="17">
        <f t="shared" si="5"/>
        <v>21671.53587</v>
      </c>
      <c r="H75" s="3">
        <v>-27.0</v>
      </c>
      <c r="I75" s="18">
        <f t="shared" si="6"/>
        <v>2.167153587</v>
      </c>
      <c r="N75" s="16"/>
      <c r="O75" s="16">
        <v>34610.0763805614</v>
      </c>
      <c r="P75" s="16">
        <v>-2351.8085729922</v>
      </c>
      <c r="Q75" s="16">
        <v>1165.02818560859</v>
      </c>
      <c r="R75" s="16">
        <v>0.0163468503171</v>
      </c>
      <c r="S75" s="16">
        <v>33423.312340028104</v>
      </c>
      <c r="V75" s="16">
        <v>0.64</v>
      </c>
      <c r="W75" s="16">
        <v>1.0</v>
      </c>
    </row>
    <row r="76" ht="12.75" customHeight="1">
      <c r="C76" s="8">
        <f t="shared" si="1"/>
        <v>22549.20882</v>
      </c>
      <c r="D76" s="8">
        <f t="shared" si="2"/>
        <v>-1369.580373</v>
      </c>
      <c r="E76" s="8">
        <f t="shared" si="3"/>
        <v>730.1370695</v>
      </c>
      <c r="F76" s="8">
        <f t="shared" si="4"/>
        <v>-0.00007071277311</v>
      </c>
      <c r="G76" s="17">
        <f t="shared" si="5"/>
        <v>21909.76545</v>
      </c>
      <c r="H76" s="3">
        <v>-26.0</v>
      </c>
      <c r="I76" s="18">
        <f t="shared" si="6"/>
        <v>2.190976545</v>
      </c>
      <c r="N76" s="16"/>
      <c r="O76" s="16">
        <v>35055.4927099194</v>
      </c>
      <c r="P76" s="16">
        <v>-2499.4841809879</v>
      </c>
      <c r="Q76" s="16">
        <v>1219.56961057266</v>
      </c>
      <c r="R76" s="16">
        <v>-7.071277311E-5</v>
      </c>
      <c r="S76" s="16">
        <v>33775.57806879139</v>
      </c>
      <c r="V76" s="16">
        <v>0.64</v>
      </c>
      <c r="W76" s="16">
        <v>1.0</v>
      </c>
    </row>
    <row r="77" ht="12.75" customHeight="1">
      <c r="C77" s="8">
        <f t="shared" si="1"/>
        <v>22726.75352</v>
      </c>
      <c r="D77" s="8">
        <f t="shared" si="2"/>
        <v>-1455.96408</v>
      </c>
      <c r="E77" s="8">
        <f t="shared" si="3"/>
        <v>764.2615689</v>
      </c>
      <c r="F77" s="8">
        <f t="shared" si="4"/>
        <v>-0.02989295721</v>
      </c>
      <c r="G77" s="17">
        <f t="shared" si="5"/>
        <v>22035.02112</v>
      </c>
      <c r="H77" s="3">
        <v>-25.0</v>
      </c>
      <c r="I77" s="18">
        <f t="shared" si="6"/>
        <v>2.203502112</v>
      </c>
      <c r="N77" s="16"/>
      <c r="O77" s="16">
        <v>35331.5075755533</v>
      </c>
      <c r="P77" s="16">
        <v>-2657.1344458971</v>
      </c>
      <c r="Q77" s="16">
        <v>1276.56877436671</v>
      </c>
      <c r="R77" s="16">
        <v>-0.0298929572062</v>
      </c>
      <c r="S77" s="16">
        <v>33950.9120110657</v>
      </c>
      <c r="V77" s="16">
        <v>0.64</v>
      </c>
      <c r="W77" s="16">
        <v>1.0</v>
      </c>
    </row>
    <row r="78" ht="12.75" customHeight="1">
      <c r="C78" s="8">
        <f t="shared" si="1"/>
        <v>22788.51396</v>
      </c>
      <c r="D78" s="8">
        <f t="shared" si="2"/>
        <v>-1547.842548</v>
      </c>
      <c r="E78" s="8">
        <f t="shared" si="3"/>
        <v>799.8320885</v>
      </c>
      <c r="F78" s="8">
        <f t="shared" si="4"/>
        <v>0.0134026743</v>
      </c>
      <c r="G78" s="17">
        <f t="shared" si="5"/>
        <v>22040.5169</v>
      </c>
      <c r="H78" s="3">
        <v>-24.0</v>
      </c>
      <c r="I78" s="18">
        <f t="shared" si="6"/>
        <v>2.20405169</v>
      </c>
      <c r="N78" s="16"/>
      <c r="O78" s="16">
        <v>35427.5217001755</v>
      </c>
      <c r="P78" s="16">
        <v>-2824.8126493876</v>
      </c>
      <c r="Q78" s="16">
        <v>1335.98326868141</v>
      </c>
      <c r="R78" s="16">
        <v>0.01340267429783</v>
      </c>
      <c r="S78" s="16">
        <v>33938.705722143604</v>
      </c>
      <c r="V78" s="16">
        <v>0.64</v>
      </c>
      <c r="W78" s="16">
        <v>1.0</v>
      </c>
    </row>
    <row r="79" ht="12.75" customHeight="1">
      <c r="C79" s="8">
        <f t="shared" si="1"/>
        <v>22730.82724</v>
      </c>
      <c r="D79" s="8">
        <f t="shared" si="2"/>
        <v>-1645.631258</v>
      </c>
      <c r="E79" s="8">
        <f t="shared" si="3"/>
        <v>836.6305381</v>
      </c>
      <c r="F79" s="8">
        <f t="shared" si="4"/>
        <v>-0.1014574722</v>
      </c>
      <c r="G79" s="17">
        <f t="shared" si="5"/>
        <v>21921.72506</v>
      </c>
      <c r="H79" s="3">
        <v>-23.0</v>
      </c>
      <c r="I79" s="18">
        <f t="shared" si="6"/>
        <v>2.192172506</v>
      </c>
      <c r="N79" s="16"/>
      <c r="O79" s="16">
        <v>35337.8406667716</v>
      </c>
      <c r="P79" s="16">
        <v>-3003.2770463068</v>
      </c>
      <c r="Q79" s="16">
        <v>1397.44881083731</v>
      </c>
      <c r="R79" s="16">
        <v>-0.1014574722029</v>
      </c>
      <c r="S79" s="16">
        <v>33731.91097382991</v>
      </c>
      <c r="V79" s="16">
        <v>0.64</v>
      </c>
      <c r="W79" s="16">
        <v>1.0</v>
      </c>
    </row>
    <row r="80" ht="12.75" customHeight="1">
      <c r="C80" s="8">
        <f t="shared" si="1"/>
        <v>22548.22269</v>
      </c>
      <c r="D80" s="8">
        <f t="shared" si="2"/>
        <v>-1749.207872</v>
      </c>
      <c r="E80" s="8">
        <f t="shared" si="3"/>
        <v>874.7198691</v>
      </c>
      <c r="F80" s="8">
        <f t="shared" si="4"/>
        <v>-0.2561858565</v>
      </c>
      <c r="G80" s="17">
        <f t="shared" si="5"/>
        <v>21673.4785</v>
      </c>
      <c r="H80" s="3">
        <v>-22.0</v>
      </c>
      <c r="I80" s="18">
        <f t="shared" si="6"/>
        <v>2.16734785</v>
      </c>
      <c r="N80" s="16"/>
      <c r="O80" s="16">
        <v>35053.9596463378</v>
      </c>
      <c r="P80" s="16">
        <v>-3192.3043665217</v>
      </c>
      <c r="Q80" s="16">
        <v>1461.07055058556</v>
      </c>
      <c r="R80" s="16">
        <v>-0.2561858565037</v>
      </c>
      <c r="S80" s="16">
        <v>33322.469644545155</v>
      </c>
      <c r="V80" s="16">
        <v>0.64</v>
      </c>
      <c r="W80" s="16">
        <v>1.0</v>
      </c>
    </row>
    <row r="81" ht="12.75" customHeight="1">
      <c r="C81" s="8">
        <f t="shared" si="1"/>
        <v>22239.71634</v>
      </c>
      <c r="D81" s="8">
        <f t="shared" si="2"/>
        <v>-1858.845039</v>
      </c>
      <c r="E81" s="8">
        <f t="shared" si="3"/>
        <v>914.1049223</v>
      </c>
      <c r="F81" s="8">
        <f t="shared" si="4"/>
        <v>-0.484414919</v>
      </c>
      <c r="G81" s="17">
        <f t="shared" si="5"/>
        <v>21294.49181</v>
      </c>
      <c r="H81" s="3">
        <v>-21.0</v>
      </c>
      <c r="I81" s="18">
        <f t="shared" si="6"/>
        <v>2.129449181</v>
      </c>
      <c r="N81" s="16"/>
      <c r="O81" s="16">
        <v>34574.3489323606</v>
      </c>
      <c r="P81" s="16">
        <v>-3392.3921962006</v>
      </c>
      <c r="Q81" s="16">
        <v>1526.85657346203</v>
      </c>
      <c r="R81" s="16">
        <v>-0.4844149190268</v>
      </c>
      <c r="S81" s="16">
        <v>32708.328894703</v>
      </c>
      <c r="V81" s="16">
        <v>0.64</v>
      </c>
      <c r="W81" s="16">
        <v>1.0</v>
      </c>
    </row>
    <row r="82" ht="12.75" customHeight="1">
      <c r="C82" s="8">
        <f t="shared" si="1"/>
        <v>21811.96517</v>
      </c>
      <c r="D82" s="8">
        <f t="shared" si="2"/>
        <v>-1975.105047</v>
      </c>
      <c r="E82" s="8">
        <f t="shared" si="3"/>
        <v>955.2373075</v>
      </c>
      <c r="F82" s="8">
        <f t="shared" si="4"/>
        <v>-0.2328620824</v>
      </c>
      <c r="G82" s="17">
        <f t="shared" si="5"/>
        <v>20791.86457</v>
      </c>
      <c r="H82" s="3">
        <v>-20.0</v>
      </c>
      <c r="I82" s="18">
        <f t="shared" si="6"/>
        <v>2.079186457</v>
      </c>
      <c r="N82" s="16"/>
      <c r="O82" s="16">
        <v>33909.357612299</v>
      </c>
      <c r="P82" s="16">
        <v>-3604.5667107042</v>
      </c>
      <c r="Q82" s="16">
        <v>1595.56121691429</v>
      </c>
      <c r="R82" s="16">
        <v>-0.2328620824074</v>
      </c>
      <c r="S82" s="16">
        <v>31900.119256426682</v>
      </c>
      <c r="V82" s="16">
        <v>0.64</v>
      </c>
      <c r="W82" s="16">
        <v>1.0</v>
      </c>
    </row>
    <row r="83" ht="12.75" customHeight="1">
      <c r="C83" s="8">
        <f t="shared" si="1"/>
        <v>21268.20632</v>
      </c>
      <c r="D83" s="8">
        <f t="shared" si="2"/>
        <v>-2098.523269</v>
      </c>
      <c r="E83" s="8">
        <f t="shared" si="3"/>
        <v>998.1303925</v>
      </c>
      <c r="F83" s="8">
        <f t="shared" si="4"/>
        <v>0.1233047864</v>
      </c>
      <c r="G83" s="17">
        <f t="shared" si="5"/>
        <v>20167.93675</v>
      </c>
      <c r="H83" s="3">
        <v>-19.0</v>
      </c>
      <c r="I83" s="18">
        <f t="shared" si="6"/>
        <v>2.016793675</v>
      </c>
      <c r="N83" s="16"/>
      <c r="O83" s="16">
        <v>33064.0182338221</v>
      </c>
      <c r="P83" s="16">
        <v>-3829.8049656115</v>
      </c>
      <c r="Q83" s="16">
        <v>1667.20680945545</v>
      </c>
      <c r="R83" s="16">
        <v>0.12330478635038</v>
      </c>
      <c r="S83" s="16">
        <v>30901.543382452397</v>
      </c>
      <c r="V83" s="16">
        <v>0.64</v>
      </c>
      <c r="W83" s="16">
        <v>1.0</v>
      </c>
    </row>
    <row r="84" ht="12.75" customHeight="1">
      <c r="C84" s="8">
        <f t="shared" si="1"/>
        <v>20621.77962</v>
      </c>
      <c r="D84" s="8">
        <f t="shared" si="2"/>
        <v>-2231.005233</v>
      </c>
      <c r="E84" s="8">
        <f t="shared" si="3"/>
        <v>1042.730144</v>
      </c>
      <c r="F84" s="8">
        <f t="shared" si="4"/>
        <v>-0.3936518178</v>
      </c>
      <c r="G84" s="17">
        <f t="shared" si="5"/>
        <v>19433.11088</v>
      </c>
      <c r="H84" s="3">
        <v>-18.0</v>
      </c>
      <c r="I84" s="18">
        <f t="shared" si="6"/>
        <v>1.943311088</v>
      </c>
      <c r="N84" s="16"/>
      <c r="O84" s="16">
        <v>32059.0691503478</v>
      </c>
      <c r="P84" s="16">
        <v>-4071.5845495986</v>
      </c>
      <c r="Q84" s="16">
        <v>1741.70309806412</v>
      </c>
      <c r="R84" s="16">
        <v>-0.3936518177831</v>
      </c>
      <c r="S84" s="16">
        <v>29728.79404699554</v>
      </c>
      <c r="V84" s="16">
        <v>0.64</v>
      </c>
      <c r="W84" s="16">
        <v>1.0</v>
      </c>
    </row>
    <row r="85" ht="12.75" customHeight="1">
      <c r="C85" s="8">
        <f t="shared" si="1"/>
        <v>19883.97415</v>
      </c>
      <c r="D85" s="8">
        <f t="shared" si="2"/>
        <v>-2372.591813</v>
      </c>
      <c r="E85" s="8">
        <f t="shared" si="3"/>
        <v>1089.89118</v>
      </c>
      <c r="F85" s="8">
        <f t="shared" si="4"/>
        <v>-1.010172529</v>
      </c>
      <c r="G85" s="17">
        <f t="shared" si="5"/>
        <v>18600.26335</v>
      </c>
      <c r="H85" s="3">
        <v>-17.0</v>
      </c>
      <c r="I85" s="18">
        <f t="shared" si="6"/>
        <v>1.860026335</v>
      </c>
      <c r="N85" s="16"/>
      <c r="O85" s="16">
        <v>30912.060656189</v>
      </c>
      <c r="P85" s="16">
        <v>-4329.9800592713</v>
      </c>
      <c r="Q85" s="16">
        <v>1820.47757507304</v>
      </c>
      <c r="R85" s="16">
        <v>-1.0101725288247</v>
      </c>
      <c r="S85" s="16">
        <v>28401.547999461916</v>
      </c>
      <c r="V85" s="16">
        <v>0.64</v>
      </c>
      <c r="W85" s="16">
        <v>1.0</v>
      </c>
    </row>
    <row r="86" ht="12.75" customHeight="1">
      <c r="C86" s="8">
        <f t="shared" si="1"/>
        <v>19077.05664</v>
      </c>
      <c r="D86" s="8">
        <f t="shared" si="2"/>
        <v>-2523.887352</v>
      </c>
      <c r="E86" s="8">
        <f t="shared" si="3"/>
        <v>1141.5824</v>
      </c>
      <c r="F86" s="8">
        <f t="shared" si="4"/>
        <v>0.193634777</v>
      </c>
      <c r="G86" s="17">
        <f t="shared" si="5"/>
        <v>17694.94532</v>
      </c>
      <c r="H86" s="3">
        <v>-16.0</v>
      </c>
      <c r="I86" s="18">
        <f t="shared" si="6"/>
        <v>1.769494532</v>
      </c>
      <c r="N86" s="16"/>
      <c r="O86" s="16">
        <v>29657.6090636369</v>
      </c>
      <c r="P86" s="16">
        <v>-4606.094416695</v>
      </c>
      <c r="Q86" s="16">
        <v>1906.81895371489</v>
      </c>
      <c r="R86" s="16">
        <v>0.19363477701952</v>
      </c>
      <c r="S86" s="16">
        <v>26958.527235433812</v>
      </c>
      <c r="V86" s="16">
        <v>0.64</v>
      </c>
      <c r="W86" s="16">
        <v>1.0</v>
      </c>
    </row>
    <row r="87" ht="12.75" customHeight="1">
      <c r="C87" s="8">
        <f t="shared" si="1"/>
        <v>18219.46331</v>
      </c>
      <c r="D87" s="8">
        <f t="shared" si="2"/>
        <v>-2688.2467</v>
      </c>
      <c r="E87" s="8">
        <f t="shared" si="3"/>
        <v>1196.220718</v>
      </c>
      <c r="F87" s="8">
        <f t="shared" si="4"/>
        <v>-0.7460782902</v>
      </c>
      <c r="G87" s="17">
        <f t="shared" si="5"/>
        <v>16726.69125</v>
      </c>
      <c r="H87" s="3">
        <v>-15.0</v>
      </c>
      <c r="I87" s="18">
        <f t="shared" si="6"/>
        <v>1.672669125</v>
      </c>
      <c r="N87" s="16"/>
      <c r="O87" s="16">
        <v>28324.375741325</v>
      </c>
      <c r="P87" s="16">
        <v>-4906.0502281074</v>
      </c>
      <c r="Q87" s="16">
        <v>1998.08295684457</v>
      </c>
      <c r="R87" s="16">
        <v>-0.7460782901608</v>
      </c>
      <c r="S87" s="16">
        <v>25415.662391772006</v>
      </c>
      <c r="V87" s="16">
        <v>0.64</v>
      </c>
      <c r="W87" s="16">
        <v>1.0</v>
      </c>
    </row>
    <row r="88" ht="12.75" customHeight="1">
      <c r="C88" s="8">
        <f t="shared" si="1"/>
        <v>17330.0498</v>
      </c>
      <c r="D88" s="8">
        <f t="shared" si="2"/>
        <v>-2864.099934</v>
      </c>
      <c r="E88" s="8">
        <f t="shared" si="3"/>
        <v>1256.610682</v>
      </c>
      <c r="F88" s="8">
        <f t="shared" si="4"/>
        <v>-0.2337702454</v>
      </c>
      <c r="G88" s="17">
        <f t="shared" si="5"/>
        <v>15722.32678</v>
      </c>
      <c r="H88" s="3">
        <v>-14.0</v>
      </c>
      <c r="I88" s="18">
        <f t="shared" si="6"/>
        <v>1.572232678</v>
      </c>
      <c r="N88" s="16"/>
      <c r="O88" s="16">
        <v>26941.6740574421</v>
      </c>
      <c r="P88" s="16">
        <v>-5226.9823786741</v>
      </c>
      <c r="Q88" s="16">
        <v>2098.95410636427</v>
      </c>
      <c r="R88" s="16">
        <v>-0.2337702453504</v>
      </c>
      <c r="S88" s="16">
        <v>23813.41201488692</v>
      </c>
      <c r="V88" s="16">
        <v>0.64</v>
      </c>
      <c r="W88" s="16">
        <v>1.0</v>
      </c>
    </row>
    <row r="89" ht="12.75" customHeight="1">
      <c r="C89" s="8">
        <f t="shared" si="1"/>
        <v>16425.00142</v>
      </c>
      <c r="D89" s="8">
        <f t="shared" si="2"/>
        <v>-3052.843975</v>
      </c>
      <c r="E89" s="8">
        <f t="shared" si="3"/>
        <v>1322.002593</v>
      </c>
      <c r="F89" s="8">
        <f t="shared" si="4"/>
        <v>-0.6331848377</v>
      </c>
      <c r="G89" s="17">
        <f t="shared" si="5"/>
        <v>14693.52686</v>
      </c>
      <c r="H89" s="3">
        <v>-13.0</v>
      </c>
      <c r="I89" s="18">
        <f t="shared" si="6"/>
        <v>1.469352686</v>
      </c>
      <c r="N89" s="16"/>
      <c r="O89" s="16">
        <v>25534.6660788</v>
      </c>
      <c r="P89" s="16">
        <v>-5571.4402540158</v>
      </c>
      <c r="Q89" s="16">
        <v>2208.18015462636</v>
      </c>
      <c r="R89" s="16">
        <v>-0.6331848376782</v>
      </c>
      <c r="S89" s="16">
        <v>22170.77279457288</v>
      </c>
      <c r="V89" s="16">
        <v>0.64</v>
      </c>
      <c r="W89" s="16">
        <v>1.0</v>
      </c>
    </row>
    <row r="90" ht="12.75" customHeight="1">
      <c r="C90" s="8">
        <f t="shared" si="1"/>
        <v>15520.48128</v>
      </c>
      <c r="D90" s="8">
        <f t="shared" si="2"/>
        <v>-3252.544689</v>
      </c>
      <c r="E90" s="8">
        <f t="shared" si="3"/>
        <v>1394.550813</v>
      </c>
      <c r="F90" s="8">
        <f t="shared" si="4"/>
        <v>0.6874400253</v>
      </c>
      <c r="G90" s="17">
        <f t="shared" si="5"/>
        <v>13663.17485</v>
      </c>
      <c r="H90" s="3">
        <v>-12.0</v>
      </c>
      <c r="I90" s="18">
        <f t="shared" si="6"/>
        <v>1.366317485</v>
      </c>
      <c r="N90" s="16"/>
      <c r="O90" s="16">
        <v>24128.4793070556</v>
      </c>
      <c r="P90" s="16">
        <v>-5935.8940572365</v>
      </c>
      <c r="Q90" s="16">
        <v>2329.35959998067</v>
      </c>
      <c r="R90" s="16">
        <v>0.68744002526319</v>
      </c>
      <c r="S90" s="16">
        <v>20522.632289825036</v>
      </c>
      <c r="V90" s="16">
        <v>0.64</v>
      </c>
      <c r="W90" s="16">
        <v>1.0</v>
      </c>
    </row>
    <row r="91" ht="12.75" customHeight="1">
      <c r="C91" s="8">
        <f t="shared" si="1"/>
        <v>14626.65381</v>
      </c>
      <c r="D91" s="8">
        <f t="shared" si="2"/>
        <v>-3463.856664</v>
      </c>
      <c r="E91" s="8">
        <f t="shared" si="3"/>
        <v>1472.916348</v>
      </c>
      <c r="F91" s="8">
        <f t="shared" si="4"/>
        <v>0.567326837</v>
      </c>
      <c r="G91" s="17">
        <f t="shared" si="5"/>
        <v>12636.28082</v>
      </c>
      <c r="H91" s="3">
        <v>-11.0</v>
      </c>
      <c r="I91" s="18">
        <f t="shared" si="6"/>
        <v>1.263628082</v>
      </c>
      <c r="N91" s="16"/>
      <c r="O91" s="16">
        <v>22738.9155908367</v>
      </c>
      <c r="P91" s="16">
        <v>-6321.5384112921</v>
      </c>
      <c r="Q91" s="16">
        <v>2460.25587773031</v>
      </c>
      <c r="R91" s="16">
        <v>0.56732683702217</v>
      </c>
      <c r="S91" s="16">
        <v>18878.200384111933</v>
      </c>
      <c r="V91" s="16">
        <v>0.64</v>
      </c>
      <c r="W91" s="16">
        <v>1.0</v>
      </c>
    </row>
    <row r="92" ht="12.75" customHeight="1">
      <c r="C92" s="8">
        <f t="shared" si="1"/>
        <v>13750.89805</v>
      </c>
      <c r="D92" s="8">
        <f t="shared" si="2"/>
        <v>-3685.003729</v>
      </c>
      <c r="E92" s="8">
        <f t="shared" si="3"/>
        <v>1556.887157</v>
      </c>
      <c r="F92" s="8">
        <f t="shared" si="4"/>
        <v>-1.990759425</v>
      </c>
      <c r="G92" s="17">
        <f t="shared" si="5"/>
        <v>11620.79072</v>
      </c>
      <c r="H92" s="3">
        <v>-10.0</v>
      </c>
      <c r="I92" s="18">
        <f t="shared" si="6"/>
        <v>1.162079072</v>
      </c>
      <c r="N92" s="16"/>
      <c r="O92" s="16">
        <v>21377.446554552</v>
      </c>
      <c r="P92" s="16">
        <v>-6725.1318048964</v>
      </c>
      <c r="Q92" s="16">
        <v>2600.51481198239</v>
      </c>
      <c r="R92" s="16">
        <v>-1.9907594250721</v>
      </c>
      <c r="S92" s="16">
        <v>17250.83880221292</v>
      </c>
      <c r="V92" s="16">
        <v>0.64</v>
      </c>
      <c r="W92" s="16">
        <v>1.0</v>
      </c>
    </row>
    <row r="93" ht="12.75" customHeight="1">
      <c r="C93" s="8">
        <f t="shared" si="1"/>
        <v>12903.75818</v>
      </c>
      <c r="D93" s="8">
        <f t="shared" si="2"/>
        <v>-3910.458905</v>
      </c>
      <c r="E93" s="8">
        <f t="shared" si="3"/>
        <v>1650.274912</v>
      </c>
      <c r="F93" s="8">
        <f t="shared" si="4"/>
        <v>-1.421840837</v>
      </c>
      <c r="G93" s="17">
        <f t="shared" si="5"/>
        <v>10642.15234</v>
      </c>
      <c r="H93" s="3">
        <v>-9.0</v>
      </c>
      <c r="I93" s="18">
        <f t="shared" si="6"/>
        <v>1.064215234</v>
      </c>
      <c r="N93" s="16"/>
      <c r="O93" s="16">
        <v>20060.4643938024</v>
      </c>
      <c r="P93" s="16">
        <v>-7136.5875011573</v>
      </c>
      <c r="Q93" s="16">
        <v>2756.50314937859</v>
      </c>
      <c r="R93" s="16">
        <v>-1.4218408371622</v>
      </c>
      <c r="S93" s="16">
        <v>15678.958201186526</v>
      </c>
      <c r="V93" s="16">
        <v>0.64</v>
      </c>
      <c r="W93" s="16">
        <v>1.0</v>
      </c>
    </row>
    <row r="94" ht="12.75" customHeight="1">
      <c r="C94" s="8">
        <f t="shared" si="1"/>
        <v>12089.30378</v>
      </c>
      <c r="D94" s="8">
        <f t="shared" si="2"/>
        <v>-4138.732727</v>
      </c>
      <c r="E94" s="8">
        <f t="shared" si="3"/>
        <v>1752.151723</v>
      </c>
      <c r="F94" s="8">
        <f t="shared" si="4"/>
        <v>-0.3075697792</v>
      </c>
      <c r="G94" s="17">
        <f t="shared" si="5"/>
        <v>9702.415203</v>
      </c>
      <c r="H94" s="3">
        <v>-8.0</v>
      </c>
      <c r="I94" s="18">
        <f t="shared" si="6"/>
        <v>0.9702415203</v>
      </c>
      <c r="N94" s="16"/>
      <c r="O94" s="16">
        <v>18794.2957869537</v>
      </c>
      <c r="P94" s="16">
        <v>-7553.1872267494</v>
      </c>
      <c r="Q94" s="16">
        <v>2926.67101066977</v>
      </c>
      <c r="R94" s="16">
        <v>-0.3075697792289</v>
      </c>
      <c r="S94" s="16">
        <v>14167.47200109484</v>
      </c>
      <c r="V94" s="16">
        <v>0.64</v>
      </c>
      <c r="W94" s="16">
        <v>1.0</v>
      </c>
    </row>
    <row r="95" ht="12.75" customHeight="1">
      <c r="C95" s="8">
        <f t="shared" si="1"/>
        <v>11310.46001</v>
      </c>
      <c r="D95" s="8">
        <f t="shared" si="2"/>
        <v>-4365.142634</v>
      </c>
      <c r="E95" s="8">
        <f t="shared" si="3"/>
        <v>1862.56032</v>
      </c>
      <c r="F95" s="8">
        <f t="shared" si="4"/>
        <v>0.9201320347</v>
      </c>
      <c r="G95" s="17">
        <f t="shared" si="5"/>
        <v>8808.797829</v>
      </c>
      <c r="H95" s="3">
        <v>-7.0</v>
      </c>
      <c r="I95" s="18">
        <f t="shared" si="6"/>
        <v>0.8808797829</v>
      </c>
      <c r="N95" s="16"/>
      <c r="O95" s="16">
        <v>17583.4882522194</v>
      </c>
      <c r="P95" s="16">
        <v>-7966.3853071744</v>
      </c>
      <c r="Q95" s="16">
        <v>3111.08976543019</v>
      </c>
      <c r="R95" s="16">
        <v>0.92013203474791</v>
      </c>
      <c r="S95" s="16">
        <v>12729.112842509936</v>
      </c>
      <c r="V95" s="16">
        <v>0.64</v>
      </c>
      <c r="W95" s="16">
        <v>1.0</v>
      </c>
    </row>
    <row r="96" ht="12.75" customHeight="1">
      <c r="C96" s="8">
        <f t="shared" si="1"/>
        <v>10568.10871</v>
      </c>
      <c r="D96" s="8">
        <f t="shared" si="2"/>
        <v>-4587.11204</v>
      </c>
      <c r="E96" s="8">
        <f t="shared" si="3"/>
        <v>1980.24384</v>
      </c>
      <c r="F96" s="8">
        <f t="shared" si="4"/>
        <v>-0.9997100171</v>
      </c>
      <c r="G96" s="17">
        <f t="shared" si="5"/>
        <v>7960.240804</v>
      </c>
      <c r="H96" s="3">
        <v>-6.0</v>
      </c>
      <c r="I96" s="18">
        <f t="shared" si="6"/>
        <v>0.7960240804</v>
      </c>
      <c r="N96" s="16"/>
      <c r="O96" s="16">
        <v>16429.4127071318</v>
      </c>
      <c r="P96" s="16">
        <v>-8371.4794727329</v>
      </c>
      <c r="Q96" s="16">
        <v>3307.66004024723</v>
      </c>
      <c r="R96" s="16">
        <v>-0.9997100170562</v>
      </c>
      <c r="S96" s="16">
        <v>11364.593564629073</v>
      </c>
      <c r="V96" s="16">
        <v>0.64</v>
      </c>
      <c r="W96" s="16">
        <v>1.0</v>
      </c>
    </row>
    <row r="97" ht="12.75" customHeight="1">
      <c r="C97" s="8">
        <f t="shared" si="1"/>
        <v>9866.81717</v>
      </c>
      <c r="D97" s="8">
        <f t="shared" si="2"/>
        <v>-4797.171469</v>
      </c>
      <c r="E97" s="8">
        <f t="shared" si="3"/>
        <v>2109.02258</v>
      </c>
      <c r="F97" s="8">
        <f t="shared" si="4"/>
        <v>-0.964288854</v>
      </c>
      <c r="G97" s="17">
        <f t="shared" si="5"/>
        <v>7177.703992</v>
      </c>
      <c r="H97" s="3">
        <v>-5.0</v>
      </c>
      <c r="I97" s="18">
        <f t="shared" si="6"/>
        <v>0.7177703992</v>
      </c>
      <c r="N97" s="16"/>
      <c r="O97" s="16">
        <v>15339.1695504184</v>
      </c>
      <c r="P97" s="16">
        <v>-8754.8379302749</v>
      </c>
      <c r="Q97" s="16">
        <v>3522.76299015305</v>
      </c>
      <c r="R97" s="16">
        <v>-0.9642888539593</v>
      </c>
      <c r="S97" s="16">
        <v>10106.13032144259</v>
      </c>
      <c r="V97" s="16">
        <v>0.64</v>
      </c>
      <c r="W97" s="16">
        <v>1.0</v>
      </c>
    </row>
    <row r="98" ht="12.75" customHeight="1">
      <c r="C98" s="8">
        <f t="shared" si="1"/>
        <v>9207.136241</v>
      </c>
      <c r="D98" s="8">
        <f t="shared" si="2"/>
        <v>-4989.864974</v>
      </c>
      <c r="E98" s="8">
        <f t="shared" si="3"/>
        <v>2249.497881</v>
      </c>
      <c r="F98" s="8">
        <f t="shared" si="4"/>
        <v>0.8375489248</v>
      </c>
      <c r="G98" s="17">
        <f t="shared" si="5"/>
        <v>6467.606696</v>
      </c>
      <c r="H98" s="3">
        <v>-4.0</v>
      </c>
      <c r="I98" s="18">
        <f t="shared" si="6"/>
        <v>0.6467606696</v>
      </c>
      <c r="N98" s="16"/>
      <c r="O98" s="16">
        <v>14313.6151641263</v>
      </c>
      <c r="P98" s="16">
        <v>-9106.5035782603</v>
      </c>
      <c r="Q98" s="16">
        <v>3757.40305380562</v>
      </c>
      <c r="R98" s="16">
        <v>0.83754892484801</v>
      </c>
      <c r="S98" s="16">
        <v>8965.352188596467</v>
      </c>
      <c r="V98" s="16">
        <v>0.64</v>
      </c>
      <c r="W98" s="16">
        <v>1.0</v>
      </c>
    </row>
    <row r="99" ht="12.75" customHeight="1">
      <c r="C99" s="8">
        <f t="shared" si="1"/>
        <v>8586.094495</v>
      </c>
      <c r="D99" s="8">
        <f t="shared" si="2"/>
        <v>-5162.162064</v>
      </c>
      <c r="E99" s="8">
        <f t="shared" si="3"/>
        <v>2399.987437</v>
      </c>
      <c r="F99" s="8">
        <f t="shared" si="4"/>
        <v>-0.09566215049</v>
      </c>
      <c r="G99" s="17">
        <f t="shared" si="5"/>
        <v>5823.824206</v>
      </c>
      <c r="H99" s="3">
        <v>-3.0</v>
      </c>
      <c r="I99" s="18">
        <f t="shared" si="6"/>
        <v>0.5823824206</v>
      </c>
      <c r="N99" s="16"/>
      <c r="O99" s="16">
        <v>13348.1300969358</v>
      </c>
      <c r="P99" s="16">
        <v>-9420.945767269</v>
      </c>
      <c r="Q99" s="16">
        <v>4008.77022490149</v>
      </c>
      <c r="R99" s="16">
        <v>-0.095662150493</v>
      </c>
      <c r="S99" s="16">
        <v>7935.858892417797</v>
      </c>
      <c r="V99" s="16">
        <v>0.64</v>
      </c>
      <c r="W99" s="16">
        <v>1.0</v>
      </c>
    </row>
    <row r="100" ht="12.75" customHeight="1">
      <c r="C100" s="8">
        <f t="shared" si="1"/>
        <v>8006.759635</v>
      </c>
      <c r="D100" s="8">
        <f t="shared" si="2"/>
        <v>-5305.791498</v>
      </c>
      <c r="E100" s="8">
        <f t="shared" si="3"/>
        <v>2564.791161</v>
      </c>
      <c r="F100" s="8">
        <f t="shared" si="4"/>
        <v>1.932216272</v>
      </c>
      <c r="G100" s="17">
        <f t="shared" si="5"/>
        <v>5267.691515</v>
      </c>
      <c r="H100" s="3">
        <v>-2.0</v>
      </c>
      <c r="I100" s="18">
        <f t="shared" si="6"/>
        <v>0.5267691515</v>
      </c>
      <c r="N100" s="16"/>
      <c r="O100" s="16">
        <v>12447.4834663036</v>
      </c>
      <c r="P100" s="16">
        <v>-9683.0694830309</v>
      </c>
      <c r="Q100" s="16">
        <v>4284.04677462954</v>
      </c>
      <c r="R100" s="16">
        <v>1.93221627234251</v>
      </c>
      <c r="S100" s="16">
        <v>7050.392974174582</v>
      </c>
      <c r="V100" s="16">
        <v>0.64</v>
      </c>
      <c r="W100" s="16">
        <v>1.0</v>
      </c>
    </row>
    <row r="101" ht="12.75" customHeight="1">
      <c r="C101" s="8">
        <f t="shared" si="1"/>
        <v>7463.510374</v>
      </c>
      <c r="D101" s="8">
        <f t="shared" si="2"/>
        <v>-5419.966237</v>
      </c>
      <c r="E101" s="8">
        <f t="shared" si="3"/>
        <v>2740.566865</v>
      </c>
      <c r="F101" s="8">
        <f t="shared" si="4"/>
        <v>-0.5923045248</v>
      </c>
      <c r="G101" s="17">
        <f t="shared" si="5"/>
        <v>4783.518698</v>
      </c>
      <c r="H101" s="3">
        <v>-1.0</v>
      </c>
      <c r="I101" s="18">
        <f t="shared" si="6"/>
        <v>0.4783518698</v>
      </c>
      <c r="N101" s="16"/>
      <c r="O101" s="16">
        <v>11602.9362950549</v>
      </c>
      <c r="P101" s="16">
        <v>-9891.4383818932</v>
      </c>
      <c r="Q101" s="16">
        <v>4577.65014882888</v>
      </c>
      <c r="R101" s="16">
        <v>-0.5923045248443</v>
      </c>
      <c r="S101" s="16">
        <v>6288.555757465736</v>
      </c>
      <c r="V101" s="16">
        <v>0.64</v>
      </c>
      <c r="W101" s="16">
        <v>1.0</v>
      </c>
    </row>
    <row r="102" ht="12.75" customHeight="1">
      <c r="C102" s="8">
        <f t="shared" si="1"/>
        <v>6959.348058</v>
      </c>
      <c r="D102" s="8">
        <f t="shared" si="2"/>
        <v>-5497.320032</v>
      </c>
      <c r="E102" s="8">
        <f t="shared" si="3"/>
        <v>2932.490474</v>
      </c>
      <c r="F102" s="8">
        <f t="shared" si="4"/>
        <v>-0.7986998289</v>
      </c>
      <c r="G102" s="17">
        <f t="shared" si="5"/>
        <v>4393.719801</v>
      </c>
      <c r="H102" s="3">
        <v>0.0</v>
      </c>
      <c r="I102" s="18">
        <f t="shared" si="6"/>
        <v>0.4393719801</v>
      </c>
      <c r="N102" s="16"/>
      <c r="O102" s="16">
        <v>10819.1545443998</v>
      </c>
      <c r="P102" s="16">
        <v>-10032.609058448</v>
      </c>
      <c r="Q102" s="16">
        <v>4898.22584708873</v>
      </c>
      <c r="R102" s="16">
        <v>-0.7986998289492</v>
      </c>
      <c r="S102" s="16">
        <v>5683.972633211581</v>
      </c>
      <c r="V102" s="16">
        <v>0.64</v>
      </c>
      <c r="W102" s="16">
        <v>1.0</v>
      </c>
    </row>
    <row r="103" ht="12.75" customHeight="1">
      <c r="C103" s="8">
        <f t="shared" si="1"/>
        <v>6490.23637</v>
      </c>
      <c r="D103" s="8">
        <f t="shared" si="2"/>
        <v>-5536.84521</v>
      </c>
      <c r="E103" s="8">
        <f t="shared" si="3"/>
        <v>3140.31485</v>
      </c>
      <c r="F103" s="8">
        <f t="shared" si="4"/>
        <v>-1.817293719</v>
      </c>
      <c r="G103" s="17">
        <f t="shared" si="5"/>
        <v>4091.888717</v>
      </c>
      <c r="H103" s="3">
        <v>1.0</v>
      </c>
      <c r="I103" s="18">
        <f t="shared" si="6"/>
        <v>0.4091888717</v>
      </c>
      <c r="N103" s="16"/>
      <c r="O103" s="16">
        <v>10089.8632647589</v>
      </c>
      <c r="P103" s="16">
        <v>-10104.742507448</v>
      </c>
      <c r="Q103" s="16">
        <v>5245.36106874033</v>
      </c>
      <c r="R103" s="16">
        <v>-1.8172937186515</v>
      </c>
      <c r="S103" s="16">
        <v>5228.664532332578</v>
      </c>
      <c r="V103" s="16">
        <v>0.64</v>
      </c>
      <c r="W103" s="16">
        <v>1.0</v>
      </c>
    </row>
    <row r="104" ht="12.75" customHeight="1">
      <c r="C104" s="8">
        <f t="shared" si="1"/>
        <v>6056.057783</v>
      </c>
      <c r="D104" s="8">
        <f t="shared" si="2"/>
        <v>-5535.713944</v>
      </c>
      <c r="E104" s="8">
        <f t="shared" si="3"/>
        <v>3367.272939</v>
      </c>
      <c r="F104" s="8">
        <f t="shared" si="4"/>
        <v>-0.7756453473</v>
      </c>
      <c r="G104" s="17">
        <f t="shared" si="5"/>
        <v>3886.841132</v>
      </c>
      <c r="H104" s="3">
        <v>2.0</v>
      </c>
      <c r="I104" s="18">
        <f t="shared" si="6"/>
        <v>0.3886841132</v>
      </c>
      <c r="N104" s="16"/>
      <c r="O104" s="16">
        <v>9414.87974594173</v>
      </c>
      <c r="P104" s="16">
        <v>-10102.677946982</v>
      </c>
      <c r="Q104" s="16">
        <v>5624.45589754641</v>
      </c>
      <c r="R104" s="16">
        <v>-0.7756453472547</v>
      </c>
      <c r="S104" s="16">
        <v>4935.882051158885</v>
      </c>
      <c r="V104" s="16">
        <v>0.64</v>
      </c>
      <c r="W104" s="16">
        <v>1.0</v>
      </c>
    </row>
    <row r="105" ht="12.75" customHeight="1">
      <c r="C105" s="8">
        <f t="shared" si="1"/>
        <v>5655.092533</v>
      </c>
      <c r="D105" s="8">
        <f t="shared" si="2"/>
        <v>-5494.333704</v>
      </c>
      <c r="E105" s="8">
        <f t="shared" si="3"/>
        <v>3614.211579</v>
      </c>
      <c r="F105" s="8">
        <f t="shared" si="4"/>
        <v>1.700864146</v>
      </c>
      <c r="G105" s="17">
        <f t="shared" si="5"/>
        <v>3776.671272</v>
      </c>
      <c r="H105" s="3">
        <v>3.0</v>
      </c>
      <c r="I105" s="18">
        <f t="shared" si="6"/>
        <v>0.3776671272</v>
      </c>
      <c r="N105" s="16"/>
      <c r="O105" s="16">
        <v>8791.53040899783</v>
      </c>
      <c r="P105" s="16">
        <v>-10027.15901012</v>
      </c>
      <c r="Q105" s="16">
        <v>6036.9248350625</v>
      </c>
      <c r="R105" s="16">
        <v>1.70086414556965</v>
      </c>
      <c r="S105" s="16">
        <v>4802.997098085901</v>
      </c>
      <c r="V105" s="16">
        <v>0.64</v>
      </c>
      <c r="W105" s="16">
        <v>1.0</v>
      </c>
    </row>
    <row r="106" ht="12.75" customHeight="1">
      <c r="C106" s="8">
        <f t="shared" si="1"/>
        <v>5282.199601</v>
      </c>
      <c r="D106" s="8">
        <f t="shared" si="2"/>
        <v>-5416.093833</v>
      </c>
      <c r="E106" s="8">
        <f t="shared" si="3"/>
        <v>3881.025612</v>
      </c>
      <c r="F106" s="8">
        <f t="shared" si="4"/>
        <v>1.561857805</v>
      </c>
      <c r="G106" s="17">
        <f t="shared" si="5"/>
        <v>3748.693239</v>
      </c>
      <c r="H106" s="3">
        <v>4.0</v>
      </c>
      <c r="I106" s="18">
        <f t="shared" si="6"/>
        <v>0.3748693239</v>
      </c>
      <c r="N106" s="16"/>
      <c r="O106" s="16">
        <v>8211.82290960927</v>
      </c>
      <c r="P106" s="16">
        <v>-9884.37124502</v>
      </c>
      <c r="Q106" s="16">
        <v>6482.59223175768</v>
      </c>
      <c r="R106" s="16">
        <v>1.56185780474149</v>
      </c>
      <c r="S106" s="16">
        <v>4811.60575415169</v>
      </c>
      <c r="V106" s="16">
        <v>0.64</v>
      </c>
      <c r="W106" s="16">
        <v>1.0</v>
      </c>
    </row>
    <row r="107" ht="12.75" customHeight="1">
      <c r="C107" s="8">
        <f t="shared" si="1"/>
        <v>4935.935954</v>
      </c>
      <c r="D107" s="8">
        <f t="shared" si="2"/>
        <v>-5304.063537</v>
      </c>
      <c r="E107" s="8">
        <f t="shared" si="3"/>
        <v>4169.311229</v>
      </c>
      <c r="F107" s="8">
        <f t="shared" si="4"/>
        <v>-1.121094075</v>
      </c>
      <c r="G107" s="17">
        <f t="shared" si="5"/>
        <v>3800.062552</v>
      </c>
      <c r="H107" s="3">
        <v>5.0</v>
      </c>
      <c r="I107" s="18">
        <f t="shared" si="6"/>
        <v>0.3800062552</v>
      </c>
      <c r="N107" s="16"/>
      <c r="O107" s="16">
        <v>7673.51387803209</v>
      </c>
      <c r="P107" s="16">
        <v>-9679.9159549146</v>
      </c>
      <c r="Q107" s="16">
        <v>6964.12425091287</v>
      </c>
      <c r="R107" s="16">
        <v>-1.1210940746409</v>
      </c>
      <c r="S107" s="16">
        <v>4956.601079955719</v>
      </c>
      <c r="V107" s="16">
        <v>0.64</v>
      </c>
      <c r="W107" s="16">
        <v>1.0</v>
      </c>
    </row>
    <row r="108" ht="12.75" customHeight="1">
      <c r="C108" s="8">
        <f t="shared" si="1"/>
        <v>4618.847612</v>
      </c>
      <c r="D108" s="8">
        <f t="shared" si="2"/>
        <v>-5158.588392</v>
      </c>
      <c r="E108" s="8">
        <f t="shared" si="3"/>
        <v>4484.939481</v>
      </c>
      <c r="F108" s="8">
        <f t="shared" si="4"/>
        <v>0.5141980696</v>
      </c>
      <c r="G108" s="17">
        <f t="shared" si="5"/>
        <v>3945.7129</v>
      </c>
      <c r="H108" s="3">
        <v>6.0</v>
      </c>
      <c r="I108" s="18">
        <f t="shared" si="6"/>
        <v>0.39457129</v>
      </c>
      <c r="N108" s="16"/>
      <c r="O108" s="16">
        <v>7180.56141438571</v>
      </c>
      <c r="P108" s="16">
        <v>-9414.4238149518</v>
      </c>
      <c r="Q108" s="16">
        <v>7491.32748436546</v>
      </c>
      <c r="R108" s="16">
        <v>0.51419806955559</v>
      </c>
      <c r="S108" s="16">
        <v>5257.979281868925</v>
      </c>
      <c r="V108" s="16">
        <v>0.64</v>
      </c>
      <c r="W108" s="16">
        <v>1.0</v>
      </c>
    </row>
    <row r="109" ht="12.75" customHeight="1">
      <c r="C109" s="8">
        <f t="shared" si="1"/>
        <v>4325.347645</v>
      </c>
      <c r="D109" s="8">
        <f t="shared" si="2"/>
        <v>-4986.973638</v>
      </c>
      <c r="E109" s="8">
        <f t="shared" si="3"/>
        <v>4826.913966</v>
      </c>
      <c r="F109" s="8">
        <f t="shared" si="4"/>
        <v>0.9940250242</v>
      </c>
      <c r="G109" s="17">
        <f t="shared" si="5"/>
        <v>4166.281998</v>
      </c>
      <c r="H109" s="3">
        <v>7.0</v>
      </c>
      <c r="I109" s="18">
        <f t="shared" si="6"/>
        <v>0.4166281998</v>
      </c>
      <c r="N109" s="16"/>
      <c r="O109" s="16">
        <v>6724.27995238412</v>
      </c>
      <c r="P109" s="16">
        <v>-9101.2268892574</v>
      </c>
      <c r="Q109" s="16">
        <v>8062.537614046</v>
      </c>
      <c r="R109" s="16">
        <v>0.99402502422171</v>
      </c>
      <c r="S109" s="16">
        <v>5686.584702196943</v>
      </c>
      <c r="V109" s="16">
        <v>0.64</v>
      </c>
      <c r="W109" s="16">
        <v>1.0</v>
      </c>
    </row>
    <row r="110" ht="12.75" customHeight="1">
      <c r="C110" s="8">
        <f t="shared" si="1"/>
        <v>4055.120456</v>
      </c>
      <c r="D110" s="8">
        <f t="shared" si="2"/>
        <v>-4794.544923</v>
      </c>
      <c r="E110" s="8">
        <f t="shared" si="3"/>
        <v>5197.604771</v>
      </c>
      <c r="F110" s="8">
        <f t="shared" si="4"/>
        <v>1.504639769</v>
      </c>
      <c r="G110" s="17">
        <f t="shared" si="5"/>
        <v>4459.684943</v>
      </c>
      <c r="H110" s="3">
        <v>8.0</v>
      </c>
      <c r="I110" s="18">
        <f t="shared" si="6"/>
        <v>0.4459684943</v>
      </c>
      <c r="N110" s="16"/>
      <c r="O110" s="16">
        <v>6304.17885964863</v>
      </c>
      <c r="P110" s="16">
        <v>-8750.0444839065</v>
      </c>
      <c r="Q110" s="16">
        <v>8681.71346308397</v>
      </c>
      <c r="R110" s="16">
        <v>1.50463976912573</v>
      </c>
      <c r="S110" s="16">
        <v>6237.352478595226</v>
      </c>
      <c r="V110" s="16">
        <v>0.64</v>
      </c>
      <c r="W110" s="16">
        <v>1.0</v>
      </c>
    </row>
    <row r="111" ht="12.75" customHeight="1">
      <c r="C111" s="8">
        <f t="shared" si="1"/>
        <v>3805.947595</v>
      </c>
      <c r="D111" s="8">
        <f t="shared" si="2"/>
        <v>-4587.265773</v>
      </c>
      <c r="E111" s="8">
        <f t="shared" si="3"/>
        <v>5598.249506</v>
      </c>
      <c r="F111" s="8">
        <f t="shared" si="4"/>
        <v>1.042479865</v>
      </c>
      <c r="G111" s="17">
        <f t="shared" si="5"/>
        <v>4817.973808</v>
      </c>
      <c r="H111" s="3">
        <v>9.0</v>
      </c>
      <c r="I111" s="18">
        <f t="shared" si="6"/>
        <v>0.4817973808</v>
      </c>
      <c r="N111" s="16"/>
      <c r="O111" s="16">
        <v>5916.80928678645</v>
      </c>
      <c r="P111" s="16">
        <v>-8371.7600358097</v>
      </c>
      <c r="Q111" s="16">
        <v>9350.92225124755</v>
      </c>
      <c r="R111" s="16">
        <v>1.04247986492954</v>
      </c>
      <c r="S111" s="16">
        <v>6897.013982089228</v>
      </c>
      <c r="V111" s="16">
        <v>0.64</v>
      </c>
      <c r="W111" s="16">
        <v>1.0</v>
      </c>
    </row>
    <row r="112" ht="12.75" customHeight="1">
      <c r="C112" s="8">
        <f t="shared" si="1"/>
        <v>3575.774184</v>
      </c>
      <c r="D112" s="8">
        <f t="shared" si="2"/>
        <v>-4371.495534</v>
      </c>
      <c r="E112" s="8">
        <f t="shared" si="3"/>
        <v>6029.509853</v>
      </c>
      <c r="F112" s="8">
        <f t="shared" si="4"/>
        <v>-1.649876295</v>
      </c>
      <c r="G112" s="17">
        <f t="shared" si="5"/>
        <v>5232.138627</v>
      </c>
      <c r="H112" s="3">
        <v>10.0</v>
      </c>
      <c r="I112" s="18">
        <f t="shared" si="6"/>
        <v>0.5232138627</v>
      </c>
      <c r="N112" s="16"/>
      <c r="O112" s="16">
        <v>5558.97667246689</v>
      </c>
      <c r="P112" s="16">
        <v>-7977.9793495901</v>
      </c>
      <c r="Q112" s="16">
        <v>10071.2692051523</v>
      </c>
      <c r="R112" s="16">
        <v>-1.6498762945745</v>
      </c>
      <c r="S112" s="16">
        <v>7650.6166517345155</v>
      </c>
      <c r="V112" s="16">
        <v>0.64</v>
      </c>
      <c r="W112" s="16">
        <v>1.0</v>
      </c>
    </row>
    <row r="113" ht="12.75" customHeight="1">
      <c r="C113" s="8">
        <f t="shared" si="1"/>
        <v>3367.151741</v>
      </c>
      <c r="D113" s="8">
        <f t="shared" si="2"/>
        <v>-4149.018211</v>
      </c>
      <c r="E113" s="8">
        <f t="shared" si="3"/>
        <v>6495.321256</v>
      </c>
      <c r="F113" s="8">
        <f t="shared" si="4"/>
        <v>-0.5052551064</v>
      </c>
      <c r="G113" s="17">
        <f t="shared" si="5"/>
        <v>5712.949531</v>
      </c>
      <c r="H113" s="3">
        <v>11.0</v>
      </c>
      <c r="I113" s="18">
        <f t="shared" si="6"/>
        <v>0.5712949531</v>
      </c>
      <c r="N113" s="16"/>
      <c r="O113" s="16">
        <v>5234.64766470753</v>
      </c>
      <c r="P113" s="16">
        <v>-7571.958234285</v>
      </c>
      <c r="Q113" s="16">
        <v>10849.3278121855</v>
      </c>
      <c r="R113" s="16">
        <v>-0.5052551063864</v>
      </c>
      <c r="S113" s="16">
        <v>8511.511987501643</v>
      </c>
      <c r="V113" s="16">
        <v>0.64</v>
      </c>
      <c r="W113" s="16">
        <v>1.0</v>
      </c>
    </row>
    <row r="114" ht="12.75" customHeight="1">
      <c r="C114" s="8">
        <f t="shared" si="1"/>
        <v>3174.754952</v>
      </c>
      <c r="D114" s="8">
        <f t="shared" si="2"/>
        <v>-3927.594499</v>
      </c>
      <c r="E114" s="8">
        <f t="shared" si="3"/>
        <v>6990.922439</v>
      </c>
      <c r="F114" s="8">
        <f t="shared" si="4"/>
        <v>-1.870056516</v>
      </c>
      <c r="G114" s="17">
        <f t="shared" si="5"/>
        <v>6236.212835</v>
      </c>
      <c r="H114" s="3">
        <v>12.0</v>
      </c>
      <c r="I114" s="18">
        <f t="shared" si="6"/>
        <v>0.6236212835</v>
      </c>
      <c r="N114" s="16"/>
      <c r="O114" s="16">
        <v>4935.54341247926</v>
      </c>
      <c r="P114" s="16">
        <v>-7167.8599614141</v>
      </c>
      <c r="Q114" s="16">
        <v>11677.1451735805</v>
      </c>
      <c r="R114" s="16">
        <v>-1.870056515742</v>
      </c>
      <c r="S114" s="16">
        <v>9442.958568129918</v>
      </c>
      <c r="V114" s="16">
        <v>0.64</v>
      </c>
      <c r="W114" s="16">
        <v>1.0</v>
      </c>
    </row>
    <row r="115" ht="12.75" customHeight="1">
      <c r="C115" s="8">
        <f t="shared" si="1"/>
        <v>3000.680965</v>
      </c>
      <c r="D115" s="8">
        <f t="shared" si="2"/>
        <v>-3709.089885</v>
      </c>
      <c r="E115" s="8">
        <f t="shared" si="3"/>
        <v>7517.815391</v>
      </c>
      <c r="F115" s="8">
        <f t="shared" si="4"/>
        <v>-0.9853659936</v>
      </c>
      <c r="G115" s="17">
        <f t="shared" si="5"/>
        <v>6808.421105</v>
      </c>
      <c r="H115" s="3">
        <v>13.0</v>
      </c>
      <c r="I115" s="18">
        <f t="shared" si="6"/>
        <v>0.6808421105</v>
      </c>
      <c r="N115" s="16"/>
      <c r="O115" s="16">
        <v>4664.92418923002</v>
      </c>
      <c r="P115" s="16">
        <v>-6769.0890402133</v>
      </c>
      <c r="Q115" s="16">
        <v>12557.2301029845</v>
      </c>
      <c r="R115" s="16">
        <v>-0.9853659936122</v>
      </c>
      <c r="S115" s="16">
        <v>10452.079886007607</v>
      </c>
      <c r="V115" s="16">
        <v>0.64</v>
      </c>
      <c r="W115" s="16">
        <v>1.0</v>
      </c>
    </row>
    <row r="116" ht="12.75" customHeight="1">
      <c r="C116" s="8">
        <f t="shared" si="1"/>
        <v>2842.025002</v>
      </c>
      <c r="D116" s="8">
        <f t="shared" si="2"/>
        <v>-3497.446073</v>
      </c>
      <c r="E116" s="8">
        <f t="shared" si="3"/>
        <v>8069.798687</v>
      </c>
      <c r="F116" s="8">
        <f t="shared" si="4"/>
        <v>-0.1601942629</v>
      </c>
      <c r="G116" s="17">
        <f t="shared" si="5"/>
        <v>7414.217422</v>
      </c>
      <c r="H116" s="3">
        <v>14.0</v>
      </c>
      <c r="I116" s="18">
        <f t="shared" si="6"/>
        <v>0.7414217422</v>
      </c>
      <c r="N116" s="16"/>
      <c r="O116" s="16">
        <v>4418.27416272389</v>
      </c>
      <c r="P116" s="16">
        <v>-6382.8390841041</v>
      </c>
      <c r="Q116" s="16">
        <v>13479.2241812487</v>
      </c>
      <c r="R116" s="16">
        <v>-0.1601942628688</v>
      </c>
      <c r="S116" s="16">
        <v>11514.49906560562</v>
      </c>
      <c r="V116" s="16">
        <v>0.64</v>
      </c>
      <c r="W116" s="16">
        <v>1.0</v>
      </c>
    </row>
    <row r="117" ht="12.75" customHeight="1">
      <c r="C117" s="8">
        <f t="shared" si="1"/>
        <v>2696.928287</v>
      </c>
      <c r="D117" s="8">
        <f t="shared" si="2"/>
        <v>-3295.041797</v>
      </c>
      <c r="E117" s="8">
        <f t="shared" si="3"/>
        <v>8639.892587</v>
      </c>
      <c r="F117" s="8">
        <f t="shared" si="4"/>
        <v>-0.01892353381</v>
      </c>
      <c r="G117" s="17">
        <f t="shared" si="5"/>
        <v>8041.760154</v>
      </c>
      <c r="H117" s="3">
        <v>15.0</v>
      </c>
      <c r="I117" s="18">
        <f t="shared" si="6"/>
        <v>0.8041760154</v>
      </c>
      <c r="N117" s="16"/>
      <c r="O117" s="16">
        <v>4192.70363940789</v>
      </c>
      <c r="P117" s="16">
        <v>-6013.4512796652</v>
      </c>
      <c r="Q117" s="16">
        <v>14431.4689372895</v>
      </c>
      <c r="R117" s="16">
        <v>-0.0189235338147</v>
      </c>
      <c r="S117" s="16">
        <v>12610.702373498376</v>
      </c>
      <c r="V117" s="16">
        <v>0.64</v>
      </c>
      <c r="W117" s="16">
        <v>1.0</v>
      </c>
    </row>
    <row r="118" ht="12.75" customHeight="1">
      <c r="C118" s="8">
        <f t="shared" si="1"/>
        <v>2564.109222</v>
      </c>
      <c r="D118" s="8">
        <f t="shared" si="2"/>
        <v>-3103.635962</v>
      </c>
      <c r="E118" s="8">
        <f t="shared" si="3"/>
        <v>9220.641468</v>
      </c>
      <c r="F118" s="8">
        <f t="shared" si="4"/>
        <v>-0.510985418</v>
      </c>
      <c r="G118" s="17">
        <f t="shared" si="5"/>
        <v>8680.603743</v>
      </c>
      <c r="H118" s="3">
        <v>16.0</v>
      </c>
      <c r="I118" s="18">
        <f t="shared" si="6"/>
        <v>0.8680603743</v>
      </c>
      <c r="N118" s="16"/>
      <c r="O118" s="16">
        <v>3986.2202195525</v>
      </c>
      <c r="P118" s="16">
        <v>-5664.1356309287</v>
      </c>
      <c r="Q118" s="16">
        <v>15401.5110236508</v>
      </c>
      <c r="R118" s="16">
        <v>-0.5109854180474</v>
      </c>
      <c r="S118" s="16">
        <v>13723.084626856553</v>
      </c>
      <c r="V118" s="16">
        <v>0.64</v>
      </c>
      <c r="W118" s="16">
        <v>1.0</v>
      </c>
    </row>
    <row r="119" ht="12.75" customHeight="1">
      <c r="C119" s="8">
        <f t="shared" si="1"/>
        <v>2442.041088</v>
      </c>
      <c r="D119" s="8">
        <f t="shared" si="2"/>
        <v>-2922.069432</v>
      </c>
      <c r="E119" s="8">
        <f t="shared" si="3"/>
        <v>9799.31516</v>
      </c>
      <c r="F119" s="8">
        <f t="shared" si="4"/>
        <v>-0.5664001558</v>
      </c>
      <c r="G119" s="17">
        <f t="shared" si="5"/>
        <v>9318.720415</v>
      </c>
      <c r="H119" s="3">
        <v>17.0</v>
      </c>
      <c r="I119" s="18">
        <f t="shared" si="6"/>
        <v>0.9318720415</v>
      </c>
      <c r="N119" s="16"/>
      <c r="O119" s="16">
        <v>3796.45043054847</v>
      </c>
      <c r="P119" s="16">
        <v>-5332.7767139686</v>
      </c>
      <c r="Q119" s="16">
        <v>16368.0868599296</v>
      </c>
      <c r="R119" s="16">
        <v>-0.5664001557864</v>
      </c>
      <c r="S119" s="16">
        <v>14831.194176353683</v>
      </c>
      <c r="V119" s="16">
        <v>0.64</v>
      </c>
      <c r="W119" s="16">
        <v>1.0</v>
      </c>
    </row>
    <row r="120" ht="12.75" customHeight="1">
      <c r="C120" s="8">
        <f t="shared" si="1"/>
        <v>2329.995192</v>
      </c>
      <c r="D120" s="8">
        <f t="shared" si="2"/>
        <v>-2749.801963</v>
      </c>
      <c r="E120" s="8">
        <f t="shared" si="3"/>
        <v>10365.42421</v>
      </c>
      <c r="F120" s="8">
        <f t="shared" si="4"/>
        <v>1.112447718</v>
      </c>
      <c r="G120" s="17">
        <f t="shared" si="5"/>
        <v>9946.729892</v>
      </c>
      <c r="H120" s="3">
        <v>18.0</v>
      </c>
      <c r="I120" s="18">
        <f t="shared" si="6"/>
        <v>0.9946729892</v>
      </c>
      <c r="N120" s="16"/>
      <c r="O120" s="16">
        <v>3622.26143329671</v>
      </c>
      <c r="P120" s="16">
        <v>-5018.3885819944</v>
      </c>
      <c r="Q120" s="16">
        <v>17313.6756109163</v>
      </c>
      <c r="R120" s="16">
        <v>1.11244771778811</v>
      </c>
      <c r="S120" s="16">
        <v>15918.660909936398</v>
      </c>
      <c r="V120" s="16">
        <v>0.64</v>
      </c>
      <c r="W120" s="16">
        <v>1.0</v>
      </c>
    </row>
    <row r="121" ht="12.75" customHeight="1">
      <c r="C121" s="8">
        <f t="shared" si="1"/>
        <v>2223.39022</v>
      </c>
      <c r="D121" s="8">
        <f t="shared" si="2"/>
        <v>-2588.679099</v>
      </c>
      <c r="E121" s="8">
        <f t="shared" si="3"/>
        <v>10903.78678</v>
      </c>
      <c r="F121" s="8">
        <f t="shared" si="4"/>
        <v>-0.004373016027</v>
      </c>
      <c r="G121" s="17">
        <f t="shared" si="5"/>
        <v>10538.49353</v>
      </c>
      <c r="H121" s="3">
        <v>19.0</v>
      </c>
      <c r="I121" s="18">
        <f t="shared" si="6"/>
        <v>1.053849353</v>
      </c>
      <c r="N121" s="16"/>
      <c r="O121" s="16">
        <v>3456.53101455816</v>
      </c>
      <c r="P121" s="16">
        <v>-4724.3393560842</v>
      </c>
      <c r="Q121" s="16">
        <v>18212.9185785831</v>
      </c>
      <c r="R121" s="16">
        <v>-0.004373016027</v>
      </c>
      <c r="S121" s="16">
        <v>16945.10586404103</v>
      </c>
      <c r="V121" s="16">
        <v>0.64</v>
      </c>
      <c r="W121" s="16">
        <v>1.0</v>
      </c>
    </row>
    <row r="122" ht="12.75" customHeight="1">
      <c r="C122" s="8">
        <f t="shared" si="1"/>
        <v>2123.087306</v>
      </c>
      <c r="D122" s="8">
        <f t="shared" si="2"/>
        <v>-2435.4564</v>
      </c>
      <c r="E122" s="8">
        <f t="shared" si="3"/>
        <v>11403.20971</v>
      </c>
      <c r="F122" s="8">
        <f t="shared" si="4"/>
        <v>-0.05103011174</v>
      </c>
      <c r="G122" s="17">
        <f t="shared" si="5"/>
        <v>11090.78959</v>
      </c>
      <c r="H122" s="3">
        <v>20.0</v>
      </c>
      <c r="I122" s="18">
        <f t="shared" si="6"/>
        <v>1.109078959</v>
      </c>
      <c r="N122" s="16"/>
      <c r="O122" s="16">
        <v>3300.5979130938</v>
      </c>
      <c r="P122" s="16">
        <v>-4444.7079297545</v>
      </c>
      <c r="Q122" s="16">
        <v>19047.1195206424</v>
      </c>
      <c r="R122" s="16">
        <v>-0.0510301117407</v>
      </c>
      <c r="S122" s="16">
        <v>17902.958473869963</v>
      </c>
      <c r="V122" s="16">
        <v>0.64</v>
      </c>
      <c r="W122" s="16">
        <v>1.0</v>
      </c>
    </row>
    <row r="123" ht="12.75" customHeight="1">
      <c r="C123" s="8">
        <f t="shared" si="1"/>
        <v>2027.421691</v>
      </c>
      <c r="D123" s="8">
        <f t="shared" si="2"/>
        <v>-2290.251738</v>
      </c>
      <c r="E123" s="8">
        <f t="shared" si="3"/>
        <v>11852.86482</v>
      </c>
      <c r="F123" s="8">
        <f t="shared" si="4"/>
        <v>-0.0650777361</v>
      </c>
      <c r="G123" s="17">
        <f t="shared" si="5"/>
        <v>11589.9697</v>
      </c>
      <c r="H123" s="3">
        <v>21.0</v>
      </c>
      <c r="I123" s="18">
        <f t="shared" si="6"/>
        <v>1.15899697</v>
      </c>
      <c r="N123" s="16"/>
      <c r="O123" s="16">
        <v>3151.87405806854</v>
      </c>
      <c r="P123" s="16">
        <v>-4179.7094212778</v>
      </c>
      <c r="Q123" s="16">
        <v>19798.1917882076</v>
      </c>
      <c r="R123" s="16">
        <v>-0.0650777361019</v>
      </c>
      <c r="S123" s="16">
        <v>18770.29134726224</v>
      </c>
      <c r="V123" s="16">
        <v>0.64</v>
      </c>
      <c r="W123" s="16">
        <v>1.0</v>
      </c>
    </row>
    <row r="124" ht="12.75" customHeight="1">
      <c r="C124" s="8">
        <f t="shared" si="1"/>
        <v>1935.573363</v>
      </c>
      <c r="D124" s="8">
        <f t="shared" si="2"/>
        <v>-2152.590119</v>
      </c>
      <c r="E124" s="8">
        <f t="shared" si="3"/>
        <v>12243.34998</v>
      </c>
      <c r="F124" s="8">
        <f t="shared" si="4"/>
        <v>-0.1568050255</v>
      </c>
      <c r="G124" s="17">
        <f t="shared" si="5"/>
        <v>12026.17642</v>
      </c>
      <c r="H124" s="3">
        <v>22.0</v>
      </c>
      <c r="I124" s="18">
        <f t="shared" si="6"/>
        <v>1.202617642</v>
      </c>
      <c r="N124" s="16"/>
      <c r="O124" s="16">
        <v>3009.0846395262</v>
      </c>
      <c r="P124" s="16">
        <v>-3928.4769669487</v>
      </c>
      <c r="Q124" s="16">
        <v>20450.4307310322</v>
      </c>
      <c r="R124" s="16">
        <v>-0.1568050255076</v>
      </c>
      <c r="S124" s="16">
        <v>19530.881598584194</v>
      </c>
      <c r="V124" s="16">
        <v>0.64</v>
      </c>
      <c r="W124" s="16">
        <v>1.0</v>
      </c>
    </row>
    <row r="125" ht="12.75" customHeight="1">
      <c r="C125" s="8">
        <f t="shared" si="1"/>
        <v>1847.40068</v>
      </c>
      <c r="D125" s="8">
        <f t="shared" si="2"/>
        <v>-2021.562668</v>
      </c>
      <c r="E125" s="8">
        <f t="shared" si="3"/>
        <v>12566.28835</v>
      </c>
      <c r="F125" s="8">
        <f t="shared" si="4"/>
        <v>0.1432096795</v>
      </c>
      <c r="G125" s="17">
        <f t="shared" si="5"/>
        <v>12392.26957</v>
      </c>
      <c r="H125" s="3">
        <v>23.0</v>
      </c>
      <c r="I125" s="18">
        <f t="shared" si="6"/>
        <v>1.239226957</v>
      </c>
      <c r="N125" s="16"/>
      <c r="O125" s="16">
        <v>2872.00946113329</v>
      </c>
      <c r="P125" s="16">
        <v>-3689.3518697376</v>
      </c>
      <c r="Q125" s="16">
        <v>20989.8442809552</v>
      </c>
      <c r="R125" s="16">
        <v>0.14320967949513</v>
      </c>
      <c r="S125" s="16">
        <v>20172.645082030387</v>
      </c>
      <c r="V125" s="16">
        <v>0.64</v>
      </c>
      <c r="W125" s="16">
        <v>1.0</v>
      </c>
    </row>
    <row r="126" ht="12.75" customHeight="1">
      <c r="C126" s="8">
        <f t="shared" si="1"/>
        <v>1762.452504</v>
      </c>
      <c r="D126" s="8">
        <f t="shared" si="2"/>
        <v>-1897.690352</v>
      </c>
      <c r="E126" s="8">
        <f t="shared" si="3"/>
        <v>12816.96053</v>
      </c>
      <c r="F126" s="8">
        <f t="shared" si="4"/>
        <v>0.2497462322</v>
      </c>
      <c r="G126" s="17">
        <f t="shared" si="5"/>
        <v>12681.97243</v>
      </c>
      <c r="H126" s="3">
        <v>24.0</v>
      </c>
      <c r="I126" s="18">
        <f t="shared" si="6"/>
        <v>1.268197243</v>
      </c>
      <c r="N126" s="16"/>
      <c r="O126" s="16">
        <v>2739.94717008394</v>
      </c>
      <c r="P126" s="16">
        <v>-3463.2848919616</v>
      </c>
      <c r="Q126" s="16">
        <v>21408.549455491</v>
      </c>
      <c r="R126" s="16">
        <v>0.24974623221389</v>
      </c>
      <c r="S126" s="16">
        <v>20685.461479845555</v>
      </c>
      <c r="V126" s="16">
        <v>0.64</v>
      </c>
      <c r="W126" s="16">
        <v>1.0</v>
      </c>
    </row>
    <row r="127" ht="12.75" customHeight="1">
      <c r="C127" s="8">
        <f t="shared" si="1"/>
        <v>1680.884528</v>
      </c>
      <c r="D127" s="8">
        <f t="shared" si="2"/>
        <v>-1780.877492</v>
      </c>
      <c r="E127" s="8">
        <f t="shared" si="3"/>
        <v>12991.1242</v>
      </c>
      <c r="F127" s="8">
        <f t="shared" si="4"/>
        <v>0.1674482202</v>
      </c>
      <c r="G127" s="17">
        <f t="shared" si="5"/>
        <v>12891.29869</v>
      </c>
      <c r="H127" s="3">
        <v>25.0</v>
      </c>
      <c r="I127" s="18">
        <f t="shared" si="6"/>
        <v>1.289129869</v>
      </c>
      <c r="N127" s="16"/>
      <c r="O127" s="16">
        <v>2613.13981283855</v>
      </c>
      <c r="P127" s="16">
        <v>-3250.1014230541</v>
      </c>
      <c r="Q127" s="16">
        <v>21699.460203273</v>
      </c>
      <c r="R127" s="16">
        <v>0.16744822019001</v>
      </c>
      <c r="S127" s="16">
        <v>21062.66604127764</v>
      </c>
      <c r="V127" s="16">
        <v>0.64</v>
      </c>
      <c r="W127" s="16">
        <v>1.0</v>
      </c>
    </row>
    <row r="128" ht="12.75" customHeight="1">
      <c r="C128" s="8">
        <f t="shared" si="1"/>
        <v>1602.704436</v>
      </c>
      <c r="D128" s="8">
        <f t="shared" si="2"/>
        <v>-1671.052137</v>
      </c>
      <c r="E128" s="8">
        <f t="shared" si="3"/>
        <v>13087.76305</v>
      </c>
      <c r="F128" s="8">
        <f t="shared" si="4"/>
        <v>0.1448300981</v>
      </c>
      <c r="G128" s="17">
        <f t="shared" si="5"/>
        <v>13019.56018</v>
      </c>
      <c r="H128" s="3">
        <v>26.0</v>
      </c>
      <c r="I128" s="18">
        <f t="shared" si="6"/>
        <v>1.301956018</v>
      </c>
      <c r="N128" s="16"/>
      <c r="O128" s="16">
        <v>2491.59933301323</v>
      </c>
      <c r="P128" s="16">
        <v>-3049.6701496367</v>
      </c>
      <c r="Q128" s="16">
        <v>21860.8789350159</v>
      </c>
      <c r="R128" s="16">
        <v>0.14483009814938</v>
      </c>
      <c r="S128" s="16">
        <v>21302.95294849058</v>
      </c>
      <c r="V128" s="16">
        <v>0.64</v>
      </c>
      <c r="W128" s="16">
        <v>1.0</v>
      </c>
    </row>
    <row r="129" ht="12.75" customHeight="1">
      <c r="C129" s="8">
        <f t="shared" si="1"/>
        <v>1528.15873</v>
      </c>
      <c r="D129" s="8">
        <f t="shared" si="2"/>
        <v>-1568.050841</v>
      </c>
      <c r="E129" s="8">
        <f t="shared" si="3"/>
        <v>13105.64164</v>
      </c>
      <c r="F129" s="8">
        <f t="shared" si="4"/>
        <v>0.1326978107</v>
      </c>
      <c r="G129" s="17">
        <f t="shared" si="5"/>
        <v>13065.88223</v>
      </c>
      <c r="H129" s="3">
        <v>27.0</v>
      </c>
      <c r="I129" s="18">
        <f t="shared" si="6"/>
        <v>1.306588223</v>
      </c>
      <c r="N129" s="16"/>
      <c r="O129" s="16">
        <v>2375.70894983198</v>
      </c>
      <c r="P129" s="16">
        <v>-2861.692783997</v>
      </c>
      <c r="Q129" s="16">
        <v>21890.742078698</v>
      </c>
      <c r="R129" s="16">
        <v>0.13269781071725</v>
      </c>
      <c r="S129" s="16">
        <v>21404.890942343696</v>
      </c>
      <c r="V129" s="16">
        <v>0.64</v>
      </c>
      <c r="W129" s="16">
        <v>1.0</v>
      </c>
    </row>
    <row r="130" ht="12.75" customHeight="1">
      <c r="C130" s="8">
        <f t="shared" si="1"/>
        <v>1457.205642</v>
      </c>
      <c r="D130" s="8">
        <f t="shared" si="2"/>
        <v>-1471.828867</v>
      </c>
      <c r="E130" s="8">
        <f t="shared" si="3"/>
        <v>13046.60817</v>
      </c>
      <c r="F130" s="8">
        <f t="shared" si="4"/>
        <v>0.1265612224</v>
      </c>
      <c r="G130" s="17">
        <f t="shared" si="5"/>
        <v>13032.11151</v>
      </c>
      <c r="H130" s="3">
        <v>28.0</v>
      </c>
      <c r="I130" s="18">
        <f t="shared" si="6"/>
        <v>1.303211151</v>
      </c>
      <c r="N130" s="16"/>
      <c r="O130" s="16">
        <v>2265.40372853866</v>
      </c>
      <c r="P130" s="16">
        <v>-2686.0876817023</v>
      </c>
      <c r="Q130" s="16">
        <v>21792.1367289347</v>
      </c>
      <c r="R130" s="16">
        <v>0.12656122237142</v>
      </c>
      <c r="S130" s="16">
        <v>21371.579336993433</v>
      </c>
      <c r="V130" s="16">
        <v>0.64</v>
      </c>
      <c r="W130" s="16">
        <v>1.0</v>
      </c>
    </row>
    <row r="131" ht="12.75" customHeight="1">
      <c r="C131" s="8">
        <f t="shared" si="1"/>
        <v>1390.106536</v>
      </c>
      <c r="D131" s="8">
        <f t="shared" si="2"/>
        <v>-1382.281334</v>
      </c>
      <c r="E131" s="8">
        <f t="shared" si="3"/>
        <v>12913.23977</v>
      </c>
      <c r="F131" s="8">
        <f t="shared" si="4"/>
        <v>0.1164442662</v>
      </c>
      <c r="G131" s="17">
        <f t="shared" si="5"/>
        <v>12921.18142</v>
      </c>
      <c r="H131" s="3">
        <v>29.0</v>
      </c>
      <c r="I131" s="18">
        <f t="shared" si="6"/>
        <v>1.292118142</v>
      </c>
      <c r="N131" s="16"/>
      <c r="O131" s="16">
        <v>2161.08999367134</v>
      </c>
      <c r="P131" s="16">
        <v>-2522.6634353231</v>
      </c>
      <c r="Q131" s="16">
        <v>21569.3675361441</v>
      </c>
      <c r="R131" s="16">
        <v>0.11644426617775</v>
      </c>
      <c r="S131" s="16">
        <v>21207.91053875852</v>
      </c>
      <c r="V131" s="16">
        <v>0.64</v>
      </c>
      <c r="W131" s="16">
        <v>1.0</v>
      </c>
    </row>
    <row r="132" ht="12.75" customHeight="1">
      <c r="C132" s="8">
        <f t="shared" si="1"/>
        <v>1326.404784</v>
      </c>
      <c r="D132" s="8">
        <f t="shared" si="2"/>
        <v>-1298.96759</v>
      </c>
      <c r="E132" s="8">
        <f t="shared" si="3"/>
        <v>12710.95971</v>
      </c>
      <c r="F132" s="8">
        <f t="shared" si="4"/>
        <v>0.1251764573</v>
      </c>
      <c r="G132" s="17">
        <f t="shared" si="5"/>
        <v>12738.52208</v>
      </c>
      <c r="H132" s="3">
        <v>30.0</v>
      </c>
      <c r="I132" s="18">
        <f t="shared" si="6"/>
        <v>1.273852208</v>
      </c>
      <c r="N132" s="16"/>
      <c r="O132" s="16">
        <v>2062.05785774772</v>
      </c>
      <c r="P132" s="16">
        <v>-2370.6158508941</v>
      </c>
      <c r="Q132" s="16">
        <v>21231.4931440958</v>
      </c>
      <c r="R132" s="16">
        <v>0.12517645732744</v>
      </c>
      <c r="S132" s="16">
        <v>20923.060327406747</v>
      </c>
      <c r="V132" s="16">
        <v>0.64</v>
      </c>
      <c r="W132" s="16">
        <v>1.0</v>
      </c>
    </row>
    <row r="133" ht="12.75" customHeight="1">
      <c r="C133" s="8">
        <f t="shared" si="1"/>
        <v>1266.525488</v>
      </c>
      <c r="D133" s="8">
        <f t="shared" si="2"/>
        <v>-1221.875596</v>
      </c>
      <c r="E133" s="8">
        <f t="shared" si="3"/>
        <v>12444.8892</v>
      </c>
      <c r="F133" s="8">
        <f t="shared" si="4"/>
        <v>0.09557385562</v>
      </c>
      <c r="G133" s="17">
        <f t="shared" si="5"/>
        <v>12489.63466</v>
      </c>
      <c r="H133" s="3">
        <v>31.0</v>
      </c>
      <c r="I133" s="18">
        <f t="shared" si="6"/>
        <v>1.248963466</v>
      </c>
      <c r="N133" s="16"/>
      <c r="O133" s="16">
        <v>1968.96819564772</v>
      </c>
      <c r="P133" s="16">
        <v>-2229.9229630764</v>
      </c>
      <c r="Q133" s="16">
        <v>20787.0676708905</v>
      </c>
      <c r="R133" s="16">
        <v>0.09557385562076</v>
      </c>
      <c r="S133" s="16">
        <v>20526.208477317443</v>
      </c>
      <c r="V133" s="16">
        <v>0.64</v>
      </c>
      <c r="W133" s="16">
        <v>1.0</v>
      </c>
    </row>
    <row r="134" ht="12.75" customHeight="1">
      <c r="C134" s="8">
        <f t="shared" si="1"/>
        <v>1210.014971</v>
      </c>
      <c r="D134" s="8">
        <f t="shared" si="2"/>
        <v>-1150.457731</v>
      </c>
      <c r="E134" s="8">
        <f t="shared" si="3"/>
        <v>12123.17656</v>
      </c>
      <c r="F134" s="8">
        <f t="shared" si="4"/>
        <v>0.09384079397</v>
      </c>
      <c r="G134" s="17">
        <f t="shared" si="5"/>
        <v>12182.82764</v>
      </c>
      <c r="H134" s="3">
        <v>32.0</v>
      </c>
      <c r="I134" s="18">
        <f t="shared" si="6"/>
        <v>1.218282764</v>
      </c>
      <c r="N134" s="16"/>
      <c r="O134" s="16">
        <v>1881.11571144885</v>
      </c>
      <c r="P134" s="16">
        <v>-2099.5853588335</v>
      </c>
      <c r="Q134" s="16">
        <v>20249.701512197</v>
      </c>
      <c r="R134" s="16">
        <v>0.093840793973</v>
      </c>
      <c r="S134" s="16">
        <v>20031.325705606323</v>
      </c>
      <c r="V134" s="16">
        <v>0.64</v>
      </c>
      <c r="W134" s="16">
        <v>1.0</v>
      </c>
    </row>
    <row r="135" ht="12.75" customHeight="1">
      <c r="C135" s="8">
        <f t="shared" si="1"/>
        <v>1156.835801</v>
      </c>
      <c r="D135" s="8">
        <f t="shared" si="2"/>
        <v>-1084.452602</v>
      </c>
      <c r="E135" s="8">
        <f t="shared" si="3"/>
        <v>11753.78654</v>
      </c>
      <c r="F135" s="8">
        <f t="shared" si="4"/>
        <v>0.08200707647</v>
      </c>
      <c r="G135" s="17">
        <f t="shared" si="5"/>
        <v>11826.25174</v>
      </c>
      <c r="H135" s="3">
        <v>33.0</v>
      </c>
      <c r="I135" s="18">
        <f t="shared" si="6"/>
        <v>1.182625174</v>
      </c>
      <c r="N135" s="16"/>
      <c r="O135" s="16">
        <v>1798.44221207556</v>
      </c>
      <c r="P135" s="16">
        <v>-1979.1259991342</v>
      </c>
      <c r="Q135" s="16">
        <v>19632.6983891782</v>
      </c>
      <c r="R135" s="16">
        <v>0.08200707646596</v>
      </c>
      <c r="S135" s="16">
        <v>19452.09660919603</v>
      </c>
      <c r="V135" s="16">
        <v>0.64</v>
      </c>
      <c r="W135" s="16">
        <v>1.0</v>
      </c>
    </row>
    <row r="136" ht="12.75" customHeight="1">
      <c r="C136" s="8">
        <f t="shared" si="1"/>
        <v>1107.124492</v>
      </c>
      <c r="D136" s="8">
        <f t="shared" si="2"/>
        <v>-1023.642641</v>
      </c>
      <c r="E136" s="8">
        <f t="shared" si="3"/>
        <v>11344.86585</v>
      </c>
      <c r="F136" s="8">
        <f t="shared" si="4"/>
        <v>0.07675761797</v>
      </c>
      <c r="G136" s="17">
        <f t="shared" si="5"/>
        <v>11428.42446</v>
      </c>
      <c r="H136" s="3">
        <v>34.0</v>
      </c>
      <c r="I136" s="18">
        <f t="shared" si="6"/>
        <v>1.142842446</v>
      </c>
      <c r="N136" s="16"/>
      <c r="O136" s="16">
        <v>1721.1599239102</v>
      </c>
      <c r="P136" s="16">
        <v>-1868.1478198279</v>
      </c>
      <c r="Q136" s="16">
        <v>18949.6660372179</v>
      </c>
      <c r="R136" s="16">
        <v>0.07675761796981</v>
      </c>
      <c r="S136" s="16">
        <v>18802.75489891817</v>
      </c>
      <c r="V136" s="16">
        <v>0.64</v>
      </c>
      <c r="W136" s="16">
        <v>1.0</v>
      </c>
    </row>
    <row r="137" ht="12.75" customHeight="1">
      <c r="C137" s="8">
        <f t="shared" si="1"/>
        <v>1060.243515</v>
      </c>
      <c r="D137" s="8">
        <f t="shared" si="2"/>
        <v>-967.4232675</v>
      </c>
      <c r="E137" s="8">
        <f t="shared" si="3"/>
        <v>10906.78474</v>
      </c>
      <c r="F137" s="8">
        <f t="shared" si="4"/>
        <v>0.07236941764</v>
      </c>
      <c r="G137" s="17">
        <f t="shared" si="5"/>
        <v>10999.67735</v>
      </c>
      <c r="H137" s="3">
        <v>35.0</v>
      </c>
      <c r="I137" s="18">
        <f t="shared" si="6"/>
        <v>1.099967735</v>
      </c>
      <c r="N137" s="16"/>
      <c r="O137" s="16">
        <v>1648.27773281191</v>
      </c>
      <c r="P137" s="16">
        <v>-1765.547463211</v>
      </c>
      <c r="Q137" s="16">
        <v>18217.9261533526</v>
      </c>
      <c r="R137" s="16">
        <v>0.07236941763688</v>
      </c>
      <c r="S137" s="16">
        <v>18100.72879237115</v>
      </c>
      <c r="V137" s="16">
        <v>0.64</v>
      </c>
      <c r="W137" s="16">
        <v>1.0</v>
      </c>
    </row>
    <row r="138" ht="12.75" customHeight="1">
      <c r="C138" s="8">
        <f t="shared" si="1"/>
        <v>1016.100988</v>
      </c>
      <c r="D138" s="8">
        <f t="shared" si="2"/>
        <v>-915.4935106</v>
      </c>
      <c r="E138" s="8">
        <f t="shared" si="3"/>
        <v>10448.18341</v>
      </c>
      <c r="F138" s="8">
        <f t="shared" si="4"/>
        <v>0.06033204705</v>
      </c>
      <c r="G138" s="17">
        <f t="shared" si="5"/>
        <v>10548.85122</v>
      </c>
      <c r="H138" s="3">
        <v>36.0</v>
      </c>
      <c r="I138" s="18">
        <f t="shared" si="6"/>
        <v>1.054885122</v>
      </c>
      <c r="N138" s="16"/>
      <c r="O138" s="16">
        <v>1579.65279643072</v>
      </c>
      <c r="P138" s="16">
        <v>-1670.7756568226</v>
      </c>
      <c r="Q138" s="16">
        <v>17451.9107480206</v>
      </c>
      <c r="R138" s="16">
        <v>0.06033204704763</v>
      </c>
      <c r="S138" s="16">
        <v>17360.84821967577</v>
      </c>
      <c r="V138" s="16">
        <v>0.64</v>
      </c>
      <c r="W138" s="16">
        <v>1.0</v>
      </c>
    </row>
    <row r="139" ht="12.75" customHeight="1">
      <c r="C139" s="8">
        <f t="shared" si="1"/>
        <v>974.7449185</v>
      </c>
      <c r="D139" s="8">
        <f t="shared" si="2"/>
        <v>-867.6168856</v>
      </c>
      <c r="E139" s="8">
        <f t="shared" si="3"/>
        <v>9976.855407</v>
      </c>
      <c r="F139" s="8">
        <f t="shared" si="4"/>
        <v>0.05645392847</v>
      </c>
      <c r="G139" s="17">
        <f t="shared" si="5"/>
        <v>10084.03989</v>
      </c>
      <c r="H139" s="3">
        <v>37.0</v>
      </c>
      <c r="I139" s="18">
        <f t="shared" si="6"/>
        <v>1.008403989</v>
      </c>
      <c r="N139" s="16"/>
      <c r="O139" s="16">
        <v>1515.35974722101</v>
      </c>
      <c r="P139" s="16">
        <v>-1583.4008162951</v>
      </c>
      <c r="Q139" s="16">
        <v>16664.6376031316</v>
      </c>
      <c r="R139" s="16">
        <v>0.05645392847138</v>
      </c>
      <c r="S139" s="16">
        <v>16596.65298798598</v>
      </c>
      <c r="V139" s="16">
        <v>0.64</v>
      </c>
      <c r="W139" s="16">
        <v>1.0</v>
      </c>
    </row>
    <row r="140" ht="12.75" customHeight="1">
      <c r="C140" s="8">
        <f t="shared" si="1"/>
        <v>935.7889757</v>
      </c>
      <c r="D140" s="8">
        <f t="shared" si="2"/>
        <v>-823.3539051</v>
      </c>
      <c r="E140" s="8">
        <f t="shared" si="3"/>
        <v>9500.94422</v>
      </c>
      <c r="F140" s="8">
        <f t="shared" si="4"/>
        <v>0.0532225405</v>
      </c>
      <c r="G140" s="17">
        <f t="shared" si="5"/>
        <v>9613.432513</v>
      </c>
      <c r="H140" s="3">
        <v>38.0</v>
      </c>
      <c r="I140" s="18">
        <f t="shared" si="6"/>
        <v>0.9613432513</v>
      </c>
      <c r="N140" s="16"/>
      <c r="O140" s="16">
        <v>1454.79798750663</v>
      </c>
      <c r="P140" s="16">
        <v>-1502.6208768546</v>
      </c>
      <c r="Q140" s="16">
        <v>15869.7090261073</v>
      </c>
      <c r="R140" s="16">
        <v>0.0532225405033</v>
      </c>
      <c r="S140" s="16">
        <v>15821.939359299835</v>
      </c>
      <c r="V140" s="16">
        <v>0.64</v>
      </c>
      <c r="W140" s="16">
        <v>1.0</v>
      </c>
    </row>
    <row r="141" ht="12.75" customHeight="1">
      <c r="C141" s="8">
        <f t="shared" si="1"/>
        <v>899.0752728</v>
      </c>
      <c r="D141" s="8">
        <f t="shared" si="2"/>
        <v>-782.3968482</v>
      </c>
      <c r="E141" s="8">
        <f t="shared" si="3"/>
        <v>9026.74701</v>
      </c>
      <c r="F141" s="8">
        <f t="shared" si="4"/>
        <v>0.04845990557</v>
      </c>
      <c r="G141" s="17">
        <f t="shared" si="5"/>
        <v>9143.473895</v>
      </c>
      <c r="H141" s="3">
        <v>39.0</v>
      </c>
      <c r="I141" s="18">
        <f t="shared" si="6"/>
        <v>0.9143473895</v>
      </c>
      <c r="N141" s="16"/>
      <c r="O141" s="16">
        <v>1397.7220627964</v>
      </c>
      <c r="P141" s="16">
        <v>-1427.8742480207</v>
      </c>
      <c r="Q141" s="16">
        <v>15077.6433579336</v>
      </c>
      <c r="R141" s="16">
        <v>0.04845990556533</v>
      </c>
      <c r="S141" s="16">
        <v>15047.539632614866</v>
      </c>
      <c r="V141" s="16">
        <v>0.64</v>
      </c>
      <c r="W141" s="16">
        <v>1.0</v>
      </c>
    </row>
    <row r="142" ht="12.75" customHeight="1">
      <c r="C142" s="8">
        <f t="shared" si="1"/>
        <v>864.2690596</v>
      </c>
      <c r="D142" s="8">
        <f t="shared" si="2"/>
        <v>-744.346006</v>
      </c>
      <c r="E142" s="8">
        <f t="shared" si="3"/>
        <v>8559.99127</v>
      </c>
      <c r="F142" s="8">
        <f t="shared" si="4"/>
        <v>0.0435496688</v>
      </c>
      <c r="G142" s="17">
        <f t="shared" si="5"/>
        <v>8679.957874</v>
      </c>
      <c r="H142" s="3">
        <v>40.0</v>
      </c>
      <c r="I142" s="18">
        <f t="shared" si="6"/>
        <v>0.8679957874</v>
      </c>
      <c r="N142" s="16"/>
      <c r="O142" s="16">
        <v>1343.61156328169</v>
      </c>
      <c r="P142" s="16">
        <v>-1358.4314610098</v>
      </c>
      <c r="Q142" s="16">
        <v>14298.0073966699</v>
      </c>
      <c r="R142" s="16">
        <v>0.04354966879863</v>
      </c>
      <c r="S142" s="16">
        <v>14283.231048610589</v>
      </c>
      <c r="V142" s="16">
        <v>0.64</v>
      </c>
      <c r="W142" s="16">
        <v>1.0</v>
      </c>
    </row>
    <row r="143" ht="12.75" customHeight="1">
      <c r="C143" s="8">
        <f t="shared" si="1"/>
        <v>831.2432874</v>
      </c>
      <c r="D143" s="8">
        <f t="shared" si="2"/>
        <v>-708.9248119</v>
      </c>
      <c r="E143" s="8">
        <f t="shared" si="3"/>
        <v>8104.189939</v>
      </c>
      <c r="F143" s="8">
        <f t="shared" si="4"/>
        <v>0.04381847069</v>
      </c>
      <c r="G143" s="17">
        <f t="shared" si="5"/>
        <v>8226.552233</v>
      </c>
      <c r="H143" s="3">
        <v>41.0</v>
      </c>
      <c r="I143" s="18">
        <f t="shared" si="6"/>
        <v>0.8226552233</v>
      </c>
      <c r="N143" s="16"/>
      <c r="O143" s="16">
        <v>1292.26897621902</v>
      </c>
      <c r="P143" s="16">
        <v>-1293.7877817255</v>
      </c>
      <c r="Q143" s="16">
        <v>13536.6689093859</v>
      </c>
      <c r="R143" s="16">
        <v>0.04381847069138</v>
      </c>
      <c r="S143" s="16">
        <v>13535.19392235011</v>
      </c>
      <c r="V143" s="16">
        <v>0.64</v>
      </c>
      <c r="W143" s="16">
        <v>1.0</v>
      </c>
    </row>
    <row r="144" ht="12.75" customHeight="1">
      <c r="C144" s="8">
        <f t="shared" si="1"/>
        <v>799.4924535</v>
      </c>
      <c r="D144" s="8">
        <f t="shared" si="2"/>
        <v>-675.6657705</v>
      </c>
      <c r="E144" s="8">
        <f t="shared" si="3"/>
        <v>7662.781962</v>
      </c>
      <c r="F144" s="8">
        <f t="shared" si="4"/>
        <v>0.03486750052</v>
      </c>
      <c r="G144" s="17">
        <f t="shared" si="5"/>
        <v>7786.643512</v>
      </c>
      <c r="H144" s="3">
        <v>42.0</v>
      </c>
      <c r="I144" s="18">
        <f t="shared" si="6"/>
        <v>0.7786643512</v>
      </c>
      <c r="N144" s="16"/>
      <c r="O144" s="16">
        <v>1242.90843618798</v>
      </c>
      <c r="P144" s="16">
        <v>-1233.0900312422</v>
      </c>
      <c r="Q144" s="16">
        <v>12799.3720679583</v>
      </c>
      <c r="R144" s="16">
        <v>0.03486750052348</v>
      </c>
      <c r="S144" s="16">
        <v>12809.225340404604</v>
      </c>
      <c r="V144" s="16">
        <v>0.64</v>
      </c>
      <c r="W144" s="16">
        <v>1.0</v>
      </c>
    </row>
    <row r="145" ht="12.75" customHeight="1">
      <c r="C145" s="8">
        <f t="shared" si="1"/>
        <v>768.6640322</v>
      </c>
      <c r="D145" s="8">
        <f t="shared" si="2"/>
        <v>-644.1578052</v>
      </c>
      <c r="E145" s="8">
        <f t="shared" si="3"/>
        <v>7237.01342</v>
      </c>
      <c r="F145" s="8">
        <f t="shared" si="4"/>
        <v>0.03522762745</v>
      </c>
      <c r="G145" s="17">
        <f t="shared" si="5"/>
        <v>7361.554875</v>
      </c>
      <c r="H145" s="3">
        <v>43.0</v>
      </c>
      <c r="I145" s="18">
        <f t="shared" si="6"/>
        <v>0.7361554875</v>
      </c>
      <c r="N145" s="16"/>
      <c r="O145" s="16">
        <v>1194.98189875937</v>
      </c>
      <c r="P145" s="16">
        <v>-1175.5879944671</v>
      </c>
      <c r="Q145" s="16">
        <v>12088.1982400512</v>
      </c>
      <c r="R145" s="16">
        <v>0.03522762744793</v>
      </c>
      <c r="S145" s="16">
        <v>12107.627371970919</v>
      </c>
      <c r="V145" s="16">
        <v>0.64</v>
      </c>
      <c r="W145" s="16">
        <v>1.0</v>
      </c>
    </row>
    <row r="146" ht="12.75" customHeight="1">
      <c r="C146" s="8">
        <f t="shared" si="1"/>
        <v>738.5813594</v>
      </c>
      <c r="D146" s="8">
        <f t="shared" si="2"/>
        <v>-614.1228822</v>
      </c>
      <c r="E146" s="8">
        <f t="shared" si="3"/>
        <v>6826.481988</v>
      </c>
      <c r="F146" s="8">
        <f t="shared" si="4"/>
        <v>0.04464631685</v>
      </c>
      <c r="G146" s="17">
        <f t="shared" si="5"/>
        <v>6950.985111</v>
      </c>
      <c r="H146" s="3">
        <v>44.0</v>
      </c>
      <c r="I146" s="18">
        <f t="shared" si="6"/>
        <v>0.6950985111</v>
      </c>
      <c r="N146" s="16"/>
      <c r="O146" s="16">
        <v>1148.21471833996</v>
      </c>
      <c r="P146" s="16">
        <v>-1120.7742599826</v>
      </c>
      <c r="Q146" s="16">
        <v>11402.4754079543</v>
      </c>
      <c r="R146" s="16">
        <v>0.04464631685292</v>
      </c>
      <c r="S146" s="16">
        <v>11429.960512628513</v>
      </c>
      <c r="V146" s="16">
        <v>0.64</v>
      </c>
      <c r="W146" s="16">
        <v>1.0</v>
      </c>
    </row>
    <row r="147" ht="12.75" customHeight="1">
      <c r="C147" s="8">
        <f t="shared" si="1"/>
        <v>708.5790393</v>
      </c>
      <c r="D147" s="8">
        <f t="shared" si="2"/>
        <v>-585.0073719</v>
      </c>
      <c r="E147" s="8">
        <f t="shared" si="3"/>
        <v>6429.851227</v>
      </c>
      <c r="F147" s="8">
        <f t="shared" si="4"/>
        <v>0.02891040685</v>
      </c>
      <c r="G147" s="17">
        <f t="shared" si="5"/>
        <v>6553.451805</v>
      </c>
      <c r="H147" s="3">
        <v>45.0</v>
      </c>
      <c r="I147" s="18">
        <f t="shared" si="6"/>
        <v>0.6553451805</v>
      </c>
      <c r="N147" s="16"/>
      <c r="O147" s="16">
        <v>1101.57245605185</v>
      </c>
      <c r="P147" s="16">
        <v>-1067.6384537597</v>
      </c>
      <c r="Q147" s="16">
        <v>10739.9712799936</v>
      </c>
      <c r="R147" s="16">
        <v>0.02891040685195</v>
      </c>
      <c r="S147" s="16">
        <v>10773.934192692603</v>
      </c>
      <c r="V147" s="16">
        <v>0.64</v>
      </c>
      <c r="W147" s="16">
        <v>1.0</v>
      </c>
    </row>
    <row r="148" ht="12.75" customHeight="1">
      <c r="C148" s="8">
        <f t="shared" si="1"/>
        <v>678.4995955</v>
      </c>
      <c r="D148" s="8">
        <f t="shared" si="2"/>
        <v>-556.5264001</v>
      </c>
      <c r="E148" s="8">
        <f t="shared" si="3"/>
        <v>6045.838416</v>
      </c>
      <c r="F148" s="8">
        <f t="shared" si="4"/>
        <v>0.04319499182</v>
      </c>
      <c r="G148" s="17">
        <f t="shared" si="5"/>
        <v>6167.854807</v>
      </c>
      <c r="H148" s="3">
        <v>46.0</v>
      </c>
      <c r="I148" s="18">
        <f t="shared" si="6"/>
        <v>0.6167854807</v>
      </c>
      <c r="N148" s="16"/>
      <c r="O148" s="16">
        <v>1054.81029556934</v>
      </c>
      <c r="P148" s="16">
        <v>-1015.6606800963</v>
      </c>
      <c r="Q148" s="16">
        <v>10098.5432888949</v>
      </c>
      <c r="R148" s="16">
        <v>0.04319499182041</v>
      </c>
      <c r="S148" s="16">
        <v>10137.73609935976</v>
      </c>
      <c r="V148" s="16">
        <v>0.64</v>
      </c>
      <c r="W148" s="16">
        <v>1.0</v>
      </c>
    </row>
    <row r="149" ht="12.75" customHeight="1">
      <c r="C149" s="8">
        <f t="shared" si="1"/>
        <v>647.3467148</v>
      </c>
      <c r="D149" s="8">
        <f t="shared" si="2"/>
        <v>-527.9138697</v>
      </c>
      <c r="E149" s="8">
        <f t="shared" si="3"/>
        <v>5669.867913</v>
      </c>
      <c r="F149" s="8">
        <f t="shared" si="4"/>
        <v>0.03140800892</v>
      </c>
      <c r="G149" s="17">
        <f t="shared" si="5"/>
        <v>5789.332166</v>
      </c>
      <c r="H149" s="3">
        <v>47.0</v>
      </c>
      <c r="I149" s="18">
        <f t="shared" si="6"/>
        <v>0.5789332166</v>
      </c>
      <c r="N149" s="16"/>
      <c r="O149" s="16">
        <v>1006.37934659929</v>
      </c>
      <c r="P149" s="16">
        <v>-963.44281215423</v>
      </c>
      <c r="Q149" s="16">
        <v>9470.54860247136</v>
      </c>
      <c r="R149" s="16">
        <v>0.03140800891926</v>
      </c>
      <c r="S149" s="16">
        <v>9513.516544925338</v>
      </c>
      <c r="V149" s="16">
        <v>0.64</v>
      </c>
      <c r="W149" s="16">
        <v>1.0</v>
      </c>
    </row>
    <row r="150" ht="12.75" customHeight="1">
      <c r="C150" s="8">
        <f t="shared" si="1"/>
        <v>614.4859027</v>
      </c>
      <c r="D150" s="8">
        <f t="shared" si="2"/>
        <v>-498.5705765</v>
      </c>
      <c r="E150" s="8">
        <f t="shared" si="3"/>
        <v>5297.526679</v>
      </c>
      <c r="F150" s="8">
        <f t="shared" si="4"/>
        <v>0.0289607985</v>
      </c>
      <c r="G150" s="17">
        <f t="shared" si="5"/>
        <v>5413.470966</v>
      </c>
      <c r="H150" s="3">
        <v>48.0</v>
      </c>
      <c r="I150" s="18">
        <f t="shared" si="6"/>
        <v>0.5413470966</v>
      </c>
      <c r="N150" s="16"/>
      <c r="O150" s="16">
        <v>955.293210124833</v>
      </c>
      <c r="P150" s="16">
        <v>-909.89130208778</v>
      </c>
      <c r="Q150" s="16">
        <v>8848.61599129743</v>
      </c>
      <c r="R150" s="16">
        <v>0.02896079850488</v>
      </c>
      <c r="S150" s="16">
        <v>8894.046860132989</v>
      </c>
      <c r="V150" s="16">
        <v>0.64</v>
      </c>
      <c r="W150" s="16">
        <v>1.0</v>
      </c>
    </row>
    <row r="151" ht="12.75" customHeight="1">
      <c r="C151" s="8">
        <f t="shared" si="1"/>
        <v>580.1936554</v>
      </c>
      <c r="D151" s="8">
        <f t="shared" si="2"/>
        <v>-468.6005528</v>
      </c>
      <c r="E151" s="8">
        <f t="shared" si="3"/>
        <v>4927.968014</v>
      </c>
      <c r="F151" s="8">
        <f t="shared" si="4"/>
        <v>0.04205695975</v>
      </c>
      <c r="G151" s="17">
        <f t="shared" si="5"/>
        <v>5039.603173</v>
      </c>
      <c r="H151" s="3">
        <v>49.0</v>
      </c>
      <c r="I151" s="18">
        <f t="shared" si="6"/>
        <v>0.5039603173</v>
      </c>
      <c r="N151" s="16"/>
      <c r="O151" s="16">
        <v>901.981733149088</v>
      </c>
      <c r="P151" s="16">
        <v>-855.1960088795</v>
      </c>
      <c r="Q151" s="16">
        <v>8231.33118807718</v>
      </c>
      <c r="R151" s="16">
        <v>0.04205695975228</v>
      </c>
      <c r="S151" s="16">
        <v>8278.15896930652</v>
      </c>
      <c r="V151" s="16">
        <v>0.64</v>
      </c>
      <c r="W151" s="16">
        <v>1.0</v>
      </c>
    </row>
    <row r="152" ht="12.75" customHeight="1">
      <c r="C152" s="8">
        <f t="shared" si="1"/>
        <v>543.3222736</v>
      </c>
      <c r="D152" s="8">
        <f t="shared" si="2"/>
        <v>-437.1041496</v>
      </c>
      <c r="E152" s="8">
        <f t="shared" si="3"/>
        <v>4554.352289</v>
      </c>
      <c r="F152" s="8">
        <f t="shared" si="4"/>
        <v>0.04882949625</v>
      </c>
      <c r="G152" s="17">
        <f t="shared" si="5"/>
        <v>4660.619242</v>
      </c>
      <c r="H152" s="3">
        <v>50.0</v>
      </c>
      <c r="I152" s="18">
        <f t="shared" si="6"/>
        <v>0.4660619242</v>
      </c>
      <c r="N152" s="16"/>
      <c r="O152" s="16">
        <v>844.660677474145</v>
      </c>
      <c r="P152" s="16">
        <v>-797.71507298172</v>
      </c>
      <c r="Q152" s="16">
        <v>7607.26975714101</v>
      </c>
      <c r="R152" s="16">
        <v>0.04882949625411</v>
      </c>
      <c r="S152" s="16">
        <v>7654.264191129689</v>
      </c>
      <c r="V152" s="16">
        <v>0.64</v>
      </c>
      <c r="W152" s="16">
        <v>1.0</v>
      </c>
    </row>
    <row r="153" ht="12.75" customHeight="1">
      <c r="C153" s="8">
        <f t="shared" si="1"/>
        <v>504.1815608</v>
      </c>
      <c r="D153" s="8">
        <f t="shared" si="2"/>
        <v>-404.2484956</v>
      </c>
      <c r="E153" s="8">
        <f t="shared" si="3"/>
        <v>4176.884891</v>
      </c>
      <c r="F153" s="8">
        <f t="shared" si="4"/>
        <v>0.05062782838</v>
      </c>
      <c r="G153" s="17">
        <f t="shared" si="5"/>
        <v>4276.868584</v>
      </c>
      <c r="H153" s="3">
        <v>51.0</v>
      </c>
      <c r="I153" s="18">
        <f t="shared" si="6"/>
        <v>0.4276868584</v>
      </c>
      <c r="N153" s="16"/>
      <c r="O153" s="16">
        <v>783.811670133758</v>
      </c>
      <c r="P153" s="16">
        <v>-737.75350441819</v>
      </c>
      <c r="Q153" s="16">
        <v>6976.77476320664</v>
      </c>
      <c r="R153" s="16">
        <v>0.05062782837943</v>
      </c>
      <c r="S153" s="16">
        <v>7022.883556750588</v>
      </c>
      <c r="V153" s="16">
        <v>0.64</v>
      </c>
      <c r="W153" s="16">
        <v>1.0</v>
      </c>
    </row>
    <row r="154" ht="12.75" customHeight="1">
      <c r="C154" s="8">
        <f t="shared" si="1"/>
        <v>462.1956948</v>
      </c>
      <c r="D154" s="8">
        <f t="shared" si="2"/>
        <v>-369.571558</v>
      </c>
      <c r="E154" s="8">
        <f t="shared" si="3"/>
        <v>3791.977762</v>
      </c>
      <c r="F154" s="8">
        <f t="shared" si="4"/>
        <v>0.03443707186</v>
      </c>
      <c r="G154" s="17">
        <f t="shared" si="5"/>
        <v>3884.636336</v>
      </c>
      <c r="H154" s="3">
        <v>52.0</v>
      </c>
      <c r="I154" s="18">
        <f t="shared" si="6"/>
        <v>0.3884636336</v>
      </c>
      <c r="N154" s="16"/>
      <c r="O154" s="16">
        <v>718.539525557782</v>
      </c>
      <c r="P154" s="16">
        <v>-674.46809327742</v>
      </c>
      <c r="Q154" s="16">
        <v>6333.85296542595</v>
      </c>
      <c r="R154" s="16">
        <v>0.03443707186262</v>
      </c>
      <c r="S154" s="16">
        <v>6377.9588347781755</v>
      </c>
      <c r="V154" s="16">
        <v>0.64</v>
      </c>
      <c r="W154" s="16">
        <v>1.0</v>
      </c>
    </row>
    <row r="155" ht="12.75" customHeight="1">
      <c r="C155" s="8">
        <f t="shared" si="1"/>
        <v>418.252356</v>
      </c>
      <c r="D155" s="8">
        <f t="shared" si="2"/>
        <v>-333.6813518</v>
      </c>
      <c r="E155" s="8">
        <f t="shared" si="3"/>
        <v>3403.795514</v>
      </c>
      <c r="F155" s="8">
        <f t="shared" si="4"/>
        <v>0.01992554881</v>
      </c>
      <c r="G155" s="17">
        <f t="shared" si="5"/>
        <v>3488.386444</v>
      </c>
      <c r="H155" s="3">
        <v>53.0</v>
      </c>
      <c r="I155" s="18">
        <f t="shared" si="6"/>
        <v>0.3488386444</v>
      </c>
      <c r="N155" s="16"/>
      <c r="O155" s="16">
        <v>650.22425086695</v>
      </c>
      <c r="P155" s="16">
        <v>-608.96846697338</v>
      </c>
      <c r="Q155" s="16">
        <v>5685.46063907245</v>
      </c>
      <c r="R155" s="16">
        <v>0.01992554881189</v>
      </c>
      <c r="S155" s="16">
        <v>5726.736348514832</v>
      </c>
      <c r="V155" s="16">
        <v>0.64</v>
      </c>
      <c r="W155" s="16">
        <v>1.0</v>
      </c>
    </row>
    <row r="156" ht="12.75" customHeight="1">
      <c r="C156" s="8">
        <f t="shared" si="1"/>
        <v>372.4207681</v>
      </c>
      <c r="D156" s="8">
        <f t="shared" si="2"/>
        <v>-296.6046467</v>
      </c>
      <c r="E156" s="8">
        <f t="shared" si="3"/>
        <v>3012.521223</v>
      </c>
      <c r="F156" s="8">
        <f t="shared" si="4"/>
        <v>0.001343703677</v>
      </c>
      <c r="G156" s="17">
        <f t="shared" si="5"/>
        <v>3088.338688</v>
      </c>
      <c r="H156" s="3">
        <v>54.0</v>
      </c>
      <c r="I156" s="18">
        <f t="shared" si="6"/>
        <v>0.3088338688</v>
      </c>
      <c r="N156" s="16"/>
      <c r="O156" s="16">
        <v>578.973462982071</v>
      </c>
      <c r="P156" s="16">
        <v>-541.30348025477</v>
      </c>
      <c r="Q156" s="16">
        <v>5031.90358087614</v>
      </c>
      <c r="R156" s="16">
        <v>0.0013437036769</v>
      </c>
      <c r="S156" s="16">
        <v>5069.574907307118</v>
      </c>
      <c r="V156" s="16">
        <v>0.64</v>
      </c>
      <c r="W156" s="16">
        <v>1.0</v>
      </c>
    </row>
    <row r="157" ht="12.75" customHeight="1">
      <c r="C157" s="8">
        <f t="shared" si="1"/>
        <v>328.3055366</v>
      </c>
      <c r="D157" s="8">
        <f t="shared" si="2"/>
        <v>-261.0339314</v>
      </c>
      <c r="E157" s="8">
        <f t="shared" si="3"/>
        <v>2640.522926</v>
      </c>
      <c r="F157" s="8">
        <f t="shared" si="4"/>
        <v>0.02818346229</v>
      </c>
      <c r="G157" s="17">
        <f t="shared" si="5"/>
        <v>2707.822714</v>
      </c>
      <c r="H157" s="3">
        <v>55.0</v>
      </c>
      <c r="I157" s="18">
        <f t="shared" si="6"/>
        <v>0.2707822714</v>
      </c>
      <c r="N157" s="16"/>
      <c r="O157" s="16">
        <v>510.390960247615</v>
      </c>
      <c r="P157" s="16">
        <v>-476.38692485179</v>
      </c>
      <c r="Q157" s="16">
        <v>4410.54378783044</v>
      </c>
      <c r="R157" s="16">
        <v>0.02818346229414</v>
      </c>
      <c r="S157" s="16">
        <v>4444.576006688559</v>
      </c>
      <c r="V157" s="16">
        <v>0.64</v>
      </c>
      <c r="W157" s="16">
        <v>1.0</v>
      </c>
    </row>
    <row r="158" ht="12.75" customHeight="1">
      <c r="C158" s="8">
        <f t="shared" si="1"/>
        <v>284.1985703</v>
      </c>
      <c r="D158" s="8">
        <f t="shared" si="2"/>
        <v>-225.6814866</v>
      </c>
      <c r="E158" s="8">
        <f t="shared" si="3"/>
        <v>2277.655904</v>
      </c>
      <c r="F158" s="8">
        <f t="shared" si="4"/>
        <v>0.05985197364</v>
      </c>
      <c r="G158" s="17">
        <f t="shared" si="5"/>
        <v>2336.23284</v>
      </c>
      <c r="H158" s="3">
        <v>56.0</v>
      </c>
      <c r="I158" s="18">
        <f t="shared" si="6"/>
        <v>0.233623284</v>
      </c>
      <c r="N158" s="16"/>
      <c r="O158" s="16">
        <v>441.821306792865</v>
      </c>
      <c r="P158" s="16">
        <v>-411.86871298423</v>
      </c>
      <c r="Q158" s="16">
        <v>3804.43623597095</v>
      </c>
      <c r="R158" s="16">
        <v>0.05985197364196</v>
      </c>
      <c r="S158" s="16">
        <v>3834.4486817532265</v>
      </c>
      <c r="V158" s="16">
        <v>0.64</v>
      </c>
      <c r="W158" s="16">
        <v>1.0</v>
      </c>
    </row>
    <row r="159" ht="12.75" customHeight="1">
      <c r="C159" s="8">
        <f t="shared" si="1"/>
        <v>244.5779959</v>
      </c>
      <c r="D159" s="8">
        <f t="shared" si="2"/>
        <v>-194.0304779</v>
      </c>
      <c r="E159" s="8">
        <f t="shared" si="3"/>
        <v>1951.768721</v>
      </c>
      <c r="F159" s="8">
        <f t="shared" si="4"/>
        <v>0.02848690429</v>
      </c>
      <c r="G159" s="17">
        <f t="shared" si="5"/>
        <v>2002.344725</v>
      </c>
      <c r="H159" s="3">
        <v>57.0</v>
      </c>
      <c r="I159" s="18">
        <f t="shared" si="6"/>
        <v>0.2002344725</v>
      </c>
      <c r="N159" s="16"/>
      <c r="O159" s="16">
        <v>380.226296141457</v>
      </c>
      <c r="P159" s="16">
        <v>-354.10562217363</v>
      </c>
      <c r="Q159" s="16">
        <v>3260.09720355566</v>
      </c>
      <c r="R159" s="16">
        <v>0.02848690428722</v>
      </c>
      <c r="S159" s="16">
        <v>3286.246364427774</v>
      </c>
      <c r="V159" s="16">
        <v>0.64</v>
      </c>
      <c r="W159" s="16">
        <v>1.0</v>
      </c>
    </row>
    <row r="160" ht="12.75" customHeight="1">
      <c r="C160" s="8">
        <f t="shared" si="1"/>
        <v>205.7468045</v>
      </c>
      <c r="D160" s="8">
        <f t="shared" si="2"/>
        <v>-163.117165</v>
      </c>
      <c r="E160" s="8">
        <f t="shared" si="3"/>
        <v>1639.863814</v>
      </c>
      <c r="F160" s="8">
        <f t="shared" si="4"/>
        <v>0.04038596509</v>
      </c>
      <c r="G160" s="17">
        <f t="shared" si="5"/>
        <v>1682.53384</v>
      </c>
      <c r="H160" s="3">
        <v>58.0</v>
      </c>
      <c r="I160" s="18">
        <f t="shared" si="6"/>
        <v>0.168253384</v>
      </c>
      <c r="N160" s="16"/>
      <c r="O160" s="16">
        <v>319.858477648632</v>
      </c>
      <c r="P160" s="16">
        <v>-297.68882605238</v>
      </c>
      <c r="Q160" s="16">
        <v>2739.11318445408</v>
      </c>
      <c r="R160" s="16">
        <v>0.04038596508574</v>
      </c>
      <c r="S160" s="16">
        <v>2761.3232220154177</v>
      </c>
      <c r="V160" s="16">
        <v>0.64</v>
      </c>
      <c r="W160" s="16">
        <v>1.0</v>
      </c>
    </row>
    <row r="161" ht="12.75" customHeight="1">
      <c r="C161" s="8">
        <f t="shared" si="1"/>
        <v>172.2183504</v>
      </c>
      <c r="D161" s="8">
        <f t="shared" si="2"/>
        <v>-136.4564833</v>
      </c>
      <c r="E161" s="8">
        <f t="shared" si="3"/>
        <v>1369.607242</v>
      </c>
      <c r="F161" s="8">
        <f t="shared" si="4"/>
        <v>0.03086974</v>
      </c>
      <c r="G161" s="17">
        <f t="shared" si="5"/>
        <v>1405.399978</v>
      </c>
      <c r="H161" s="3">
        <v>59.0</v>
      </c>
      <c r="I161" s="18">
        <f t="shared" si="6"/>
        <v>0.1405399978</v>
      </c>
      <c r="N161" s="16"/>
      <c r="O161" s="16">
        <v>267.734410210041</v>
      </c>
      <c r="P161" s="16">
        <v>-249.03308199803</v>
      </c>
      <c r="Q161" s="16">
        <v>2287.69561238188</v>
      </c>
      <c r="R161" s="16">
        <v>0.03086974000305</v>
      </c>
      <c r="S161" s="16">
        <v>2306.4278103338943</v>
      </c>
      <c r="V161" s="16">
        <v>0.64</v>
      </c>
      <c r="W161" s="16">
        <v>1.0</v>
      </c>
    </row>
    <row r="162" ht="12.75" customHeight="1">
      <c r="C162" s="8">
        <f t="shared" si="1"/>
        <v>142.2397821</v>
      </c>
      <c r="D162" s="8">
        <f t="shared" si="2"/>
        <v>-112.6796001</v>
      </c>
      <c r="E162" s="8">
        <f t="shared" si="3"/>
        <v>1129.764875</v>
      </c>
      <c r="F162" s="8">
        <f t="shared" si="4"/>
        <v>0.0004678980943</v>
      </c>
      <c r="G162" s="17">
        <f t="shared" si="5"/>
        <v>1159.325525</v>
      </c>
      <c r="H162" s="3">
        <v>60.0</v>
      </c>
      <c r="I162" s="18">
        <f t="shared" si="6"/>
        <v>0.1159325525</v>
      </c>
      <c r="N162" s="16"/>
      <c r="O162" s="16">
        <v>221.129072995198</v>
      </c>
      <c r="P162" s="16">
        <v>-205.64027017377</v>
      </c>
      <c r="Q162" s="16">
        <v>1887.07979056562</v>
      </c>
      <c r="R162" s="16">
        <v>4.6789809432E-4</v>
      </c>
      <c r="S162" s="16">
        <v>1902.5690612851422</v>
      </c>
      <c r="V162" s="16">
        <v>0.64</v>
      </c>
      <c r="W162" s="16">
        <v>1.0</v>
      </c>
    </row>
    <row r="163" ht="12.75" customHeight="1">
      <c r="C163" s="8">
        <f t="shared" si="1"/>
        <v>116.0545551</v>
      </c>
      <c r="D163" s="8">
        <f t="shared" si="2"/>
        <v>-91.89763229</v>
      </c>
      <c r="E163" s="8">
        <f t="shared" si="3"/>
        <v>920.8197952</v>
      </c>
      <c r="F163" s="8">
        <f t="shared" si="4"/>
        <v>0.008604459285</v>
      </c>
      <c r="G163" s="17">
        <f t="shared" si="5"/>
        <v>944.9853224</v>
      </c>
      <c r="H163" s="3">
        <v>61.0</v>
      </c>
      <c r="I163" s="18">
        <f t="shared" si="6"/>
        <v>0.09449853224</v>
      </c>
      <c r="N163" s="16"/>
      <c r="O163" s="16">
        <v>180.420947010728</v>
      </c>
      <c r="P163" s="16">
        <v>-167.71317892123</v>
      </c>
      <c r="Q163" s="16">
        <v>1538.07262489841</v>
      </c>
      <c r="R163" s="16">
        <v>0.0086044592848</v>
      </c>
      <c r="S163" s="16">
        <v>1550.7889974471925</v>
      </c>
      <c r="V163" s="16">
        <v>0.64</v>
      </c>
      <c r="W163" s="16">
        <v>1.0</v>
      </c>
    </row>
    <row r="164" ht="12.75" customHeight="1">
      <c r="C164" s="8">
        <f t="shared" si="1"/>
        <v>93.37459808</v>
      </c>
      <c r="D164" s="8">
        <f t="shared" si="2"/>
        <v>-73.91935869</v>
      </c>
      <c r="E164" s="8">
        <f t="shared" si="3"/>
        <v>740.37768</v>
      </c>
      <c r="F164" s="8">
        <f t="shared" si="4"/>
        <v>0.008619354179</v>
      </c>
      <c r="G164" s="17">
        <f t="shared" si="5"/>
        <v>759.8415387</v>
      </c>
      <c r="H164" s="3">
        <v>62.0</v>
      </c>
      <c r="I164" s="18">
        <f t="shared" si="6"/>
        <v>0.07598415387</v>
      </c>
      <c r="N164" s="16"/>
      <c r="O164" s="16">
        <v>145.162190298257</v>
      </c>
      <c r="P164" s="16">
        <v>-134.90282960603</v>
      </c>
      <c r="Q164" s="16">
        <v>1236.67480607199</v>
      </c>
      <c r="R164" s="16">
        <v>0.0086193541786</v>
      </c>
      <c r="S164" s="16">
        <v>1246.9427861183956</v>
      </c>
      <c r="V164" s="16">
        <v>0.64</v>
      </c>
      <c r="W164" s="16">
        <v>1.0</v>
      </c>
    </row>
    <row r="165" ht="12.75" customHeight="1">
      <c r="C165" s="8">
        <f t="shared" si="1"/>
        <v>74.10942277</v>
      </c>
      <c r="D165" s="8">
        <f t="shared" si="2"/>
        <v>-58.67864867</v>
      </c>
      <c r="E165" s="8">
        <f t="shared" si="3"/>
        <v>587.5594167</v>
      </c>
      <c r="F165" s="8">
        <f t="shared" si="4"/>
        <v>-0.01429992773</v>
      </c>
      <c r="G165" s="17">
        <f t="shared" si="5"/>
        <v>602.9758908</v>
      </c>
      <c r="H165" s="3">
        <v>63.0</v>
      </c>
      <c r="I165" s="18">
        <f t="shared" si="6"/>
        <v>0.06029758908</v>
      </c>
      <c r="N165" s="16"/>
      <c r="O165" s="16">
        <v>115.212127835622</v>
      </c>
      <c r="P165" s="16">
        <v>-107.08853382271</v>
      </c>
      <c r="Q165" s="16">
        <v>981.417926729605</v>
      </c>
      <c r="R165" s="16">
        <v>-0.0142999277304</v>
      </c>
      <c r="S165" s="16">
        <v>989.5272208147867</v>
      </c>
      <c r="V165" s="16">
        <v>0.64</v>
      </c>
      <c r="W165" s="16">
        <v>1.0</v>
      </c>
    </row>
    <row r="166" ht="12.75" customHeight="1">
      <c r="C166" s="8">
        <f t="shared" si="1"/>
        <v>56.57729376</v>
      </c>
      <c r="D166" s="8">
        <f t="shared" si="2"/>
        <v>-44.79731917</v>
      </c>
      <c r="E166" s="8">
        <f t="shared" si="3"/>
        <v>445.7878282</v>
      </c>
      <c r="F166" s="8">
        <f t="shared" si="4"/>
        <v>-0.00697281973</v>
      </c>
      <c r="G166" s="17">
        <f t="shared" si="5"/>
        <v>457.5608299</v>
      </c>
      <c r="H166" s="3">
        <v>64.0</v>
      </c>
      <c r="I166" s="18">
        <f t="shared" si="6"/>
        <v>0.04575608299</v>
      </c>
      <c r="N166" s="16"/>
      <c r="O166" s="16">
        <v>87.9562970225806</v>
      </c>
      <c r="P166" s="16">
        <v>-81.755107494341</v>
      </c>
      <c r="Q166" s="16">
        <v>744.612636036349</v>
      </c>
      <c r="R166" s="16">
        <v>-0.00697281973</v>
      </c>
      <c r="S166" s="16">
        <v>750.8068527448587</v>
      </c>
      <c r="V166" s="16">
        <v>0.64</v>
      </c>
      <c r="W166" s="16">
        <v>1.0</v>
      </c>
    </row>
    <row r="167" ht="12.75" customHeight="1">
      <c r="C167" s="8">
        <f t="shared" si="1"/>
        <v>44.87197755</v>
      </c>
      <c r="D167" s="8">
        <f t="shared" si="2"/>
        <v>-35.51480734</v>
      </c>
      <c r="E167" s="8">
        <f t="shared" si="3"/>
        <v>354.7950023</v>
      </c>
      <c r="F167" s="8">
        <f t="shared" si="4"/>
        <v>-0.009564018977</v>
      </c>
      <c r="G167" s="17">
        <f t="shared" si="5"/>
        <v>364.1426085</v>
      </c>
      <c r="H167" s="3">
        <v>65.0</v>
      </c>
      <c r="I167" s="18">
        <f t="shared" si="6"/>
        <v>0.03641426085</v>
      </c>
      <c r="N167" s="16"/>
      <c r="O167" s="16">
        <v>69.7589567010217</v>
      </c>
      <c r="P167" s="16">
        <v>-64.814523398509</v>
      </c>
      <c r="Q167" s="16">
        <v>592.624619231867</v>
      </c>
      <c r="R167" s="16">
        <v>-0.009564018977</v>
      </c>
      <c r="S167" s="16">
        <v>597.5594885154027</v>
      </c>
      <c r="V167" s="16">
        <v>0.64</v>
      </c>
      <c r="W167" s="16">
        <v>1.0</v>
      </c>
    </row>
    <row r="168" ht="12.75" customHeight="1">
      <c r="C168" s="8">
        <f t="shared" si="1"/>
        <v>34.47227296</v>
      </c>
      <c r="D168" s="8">
        <f t="shared" si="2"/>
        <v>-27.27136881</v>
      </c>
      <c r="E168" s="8">
        <f t="shared" si="3"/>
        <v>272.9454826</v>
      </c>
      <c r="F168" s="8">
        <f t="shared" si="4"/>
        <v>-0.007428185363</v>
      </c>
      <c r="G168" s="17">
        <f t="shared" si="5"/>
        <v>280.1389586</v>
      </c>
      <c r="H168" s="3">
        <v>66.0</v>
      </c>
      <c r="I168" s="18">
        <f t="shared" si="6"/>
        <v>0.02801389586</v>
      </c>
      <c r="N168" s="16"/>
      <c r="O168" s="16">
        <v>53.5913487119425</v>
      </c>
      <c r="P168" s="16">
        <v>-49.770248076946</v>
      </c>
      <c r="Q168" s="16">
        <v>455.908938010283</v>
      </c>
      <c r="R168" s="16">
        <v>-0.007428185363</v>
      </c>
      <c r="S168" s="16">
        <v>459.72261045991655</v>
      </c>
      <c r="V168" s="16">
        <v>0.64</v>
      </c>
      <c r="W168" s="16">
        <v>1.0</v>
      </c>
    </row>
    <row r="169" ht="12.75" customHeight="1">
      <c r="C169" s="8">
        <f t="shared" si="1"/>
        <v>26.13252476</v>
      </c>
      <c r="D169" s="8">
        <f t="shared" si="2"/>
        <v>-20.66187555</v>
      </c>
      <c r="E169" s="8">
        <f t="shared" si="3"/>
        <v>206.8869525</v>
      </c>
      <c r="F169" s="8">
        <f t="shared" si="4"/>
        <v>-0.00478124878</v>
      </c>
      <c r="G169" s="17">
        <f t="shared" si="5"/>
        <v>212.3528204</v>
      </c>
      <c r="H169" s="3">
        <v>67.0</v>
      </c>
      <c r="I169" s="18">
        <f t="shared" si="6"/>
        <v>0.02123528204</v>
      </c>
      <c r="N169" s="16"/>
      <c r="O169" s="16">
        <v>40.6261939585435</v>
      </c>
      <c r="P169" s="16">
        <v>-37.707922870691</v>
      </c>
      <c r="Q169" s="16">
        <v>345.56941511936</v>
      </c>
      <c r="R169" s="16">
        <v>-0.00478124878</v>
      </c>
      <c r="S169" s="16">
        <v>348.4829049584325</v>
      </c>
      <c r="V169" s="16">
        <v>0.64</v>
      </c>
      <c r="W169" s="16">
        <v>1.0</v>
      </c>
    </row>
    <row r="170" ht="12.75" customHeight="1">
      <c r="C170" s="8">
        <f t="shared" si="1"/>
        <v>19.72724093</v>
      </c>
      <c r="D170" s="8">
        <f t="shared" si="2"/>
        <v>-15.58496019</v>
      </c>
      <c r="E170" s="8">
        <f t="shared" si="3"/>
        <v>156.141234</v>
      </c>
      <c r="F170" s="8">
        <f t="shared" si="4"/>
        <v>-0.003151474653</v>
      </c>
      <c r="G170" s="17">
        <f t="shared" si="5"/>
        <v>160.2803632</v>
      </c>
      <c r="H170" s="3">
        <v>68.0</v>
      </c>
      <c r="I170" s="18">
        <f t="shared" si="6"/>
        <v>0.01602803632</v>
      </c>
      <c r="N170" s="16"/>
      <c r="O170" s="16">
        <v>30.6683997649159</v>
      </c>
      <c r="P170" s="16">
        <v>-28.442552344564</v>
      </c>
      <c r="Q170" s="16">
        <v>260.807335884001</v>
      </c>
      <c r="R170" s="16">
        <v>-0.003151474653</v>
      </c>
      <c r="S170" s="16">
        <v>263.0300318296999</v>
      </c>
      <c r="V170" s="16">
        <v>0.64</v>
      </c>
      <c r="W170" s="16">
        <v>1.0</v>
      </c>
    </row>
    <row r="171" ht="12.75" customHeight="1">
      <c r="C171" s="8">
        <f t="shared" si="1"/>
        <v>14.83344506</v>
      </c>
      <c r="D171" s="8">
        <f t="shared" si="2"/>
        <v>-11.70524115</v>
      </c>
      <c r="E171" s="8">
        <f t="shared" si="3"/>
        <v>117.37104</v>
      </c>
      <c r="F171" s="8">
        <f t="shared" si="4"/>
        <v>-0.001991032863</v>
      </c>
      <c r="G171" s="17">
        <f t="shared" si="5"/>
        <v>120.4972529</v>
      </c>
      <c r="H171" s="3">
        <v>69.0</v>
      </c>
      <c r="I171" s="18">
        <f t="shared" si="6"/>
        <v>0.01204972529</v>
      </c>
      <c r="N171" s="16"/>
      <c r="O171" s="16">
        <v>23.0603977871427</v>
      </c>
      <c r="P171" s="16">
        <v>-21.362065094001</v>
      </c>
      <c r="Q171" s="16">
        <v>196.048330509735</v>
      </c>
      <c r="R171" s="16">
        <v>-0.001991032863</v>
      </c>
      <c r="S171" s="16">
        <v>197.7446721700137</v>
      </c>
      <c r="V171" s="16">
        <v>0.64</v>
      </c>
      <c r="W171" s="16">
        <v>1.0</v>
      </c>
    </row>
    <row r="172" ht="12.75" customHeight="1">
      <c r="C172" s="8">
        <f t="shared" si="1"/>
        <v>11.21872022</v>
      </c>
      <c r="D172" s="8">
        <f t="shared" si="2"/>
        <v>-8.83900285</v>
      </c>
      <c r="E172" s="8">
        <f t="shared" si="3"/>
        <v>88.73420054</v>
      </c>
      <c r="F172" s="8">
        <f t="shared" si="4"/>
        <v>-0.001237340302</v>
      </c>
      <c r="G172" s="17">
        <f t="shared" si="5"/>
        <v>91.11268058</v>
      </c>
      <c r="H172" s="3">
        <v>70.0</v>
      </c>
      <c r="I172" s="18">
        <f t="shared" si="6"/>
        <v>0.009111268058</v>
      </c>
      <c r="N172" s="16"/>
      <c r="O172" s="16">
        <v>17.440867573261</v>
      </c>
      <c r="P172" s="16">
        <v>-16.131180200405</v>
      </c>
      <c r="Q172" s="16">
        <v>148.215367941294</v>
      </c>
      <c r="R172" s="16">
        <v>-0.001237340302</v>
      </c>
      <c r="S172" s="16">
        <v>149.523817973848</v>
      </c>
      <c r="V172" s="16">
        <v>0.64</v>
      </c>
      <c r="W172" s="16">
        <v>1.0</v>
      </c>
    </row>
    <row r="173" ht="12.75" customHeight="1">
      <c r="C173" s="8">
        <f t="shared" si="1"/>
        <v>8.466807066</v>
      </c>
      <c r="D173" s="8">
        <f t="shared" si="2"/>
        <v>-6.656408957</v>
      </c>
      <c r="E173" s="8">
        <f t="shared" si="3"/>
        <v>66.93054916</v>
      </c>
      <c r="F173" s="8">
        <f t="shared" si="4"/>
        <v>-0.0005771391932</v>
      </c>
      <c r="G173" s="17">
        <f t="shared" si="5"/>
        <v>68.74037013</v>
      </c>
      <c r="H173" s="3">
        <v>71.0</v>
      </c>
      <c r="I173" s="18">
        <f t="shared" si="6"/>
        <v>0.006874037013</v>
      </c>
      <c r="N173" s="16"/>
      <c r="O173" s="16">
        <v>13.1626832545395</v>
      </c>
      <c r="P173" s="16">
        <v>-12.147946345974</v>
      </c>
      <c r="Q173" s="16">
        <v>111.796082107823</v>
      </c>
      <c r="R173" s="16">
        <v>-5.771391932E-4</v>
      </c>
      <c r="S173" s="16">
        <v>112.8102418771953</v>
      </c>
      <c r="V173" s="16">
        <v>0.64</v>
      </c>
      <c r="W173" s="16">
        <v>1.0</v>
      </c>
    </row>
    <row r="174" ht="12.75" customHeight="1">
      <c r="C174" s="8">
        <f t="shared" si="1"/>
        <v>6.460458867</v>
      </c>
      <c r="D174" s="8">
        <f t="shared" si="2"/>
        <v>-5.065018701</v>
      </c>
      <c r="E174" s="8">
        <f t="shared" si="3"/>
        <v>51.03141774</v>
      </c>
      <c r="F174" s="8">
        <f t="shared" si="4"/>
        <v>-0.0001442013265</v>
      </c>
      <c r="G174" s="17">
        <f t="shared" si="5"/>
        <v>52.4267137</v>
      </c>
      <c r="H174" s="3">
        <v>72.0</v>
      </c>
      <c r="I174" s="18">
        <f t="shared" si="6"/>
        <v>0.00524267137</v>
      </c>
      <c r="N174" s="16"/>
      <c r="O174" s="16">
        <v>10.0435705072259</v>
      </c>
      <c r="P174" s="16">
        <v>-9.2436591289903</v>
      </c>
      <c r="Q174" s="16">
        <v>85.239291168496</v>
      </c>
      <c r="R174" s="16">
        <v>-1.442013265E-4</v>
      </c>
      <c r="S174" s="16">
        <v>86.03905834540508</v>
      </c>
      <c r="V174" s="16">
        <v>0.64</v>
      </c>
      <c r="W174" s="16">
        <v>1.0</v>
      </c>
    </row>
    <row r="175" ht="12.75" customHeight="1">
      <c r="C175" s="8">
        <f t="shared" si="1"/>
        <v>4.97650119</v>
      </c>
      <c r="D175" s="8">
        <f t="shared" si="2"/>
        <v>-3.887926749</v>
      </c>
      <c r="E175" s="8">
        <f t="shared" si="3"/>
        <v>39.26787616</v>
      </c>
      <c r="F175" s="8">
        <f t="shared" si="4"/>
        <v>0.0002185124497</v>
      </c>
      <c r="G175" s="17">
        <f t="shared" si="5"/>
        <v>40.35666911</v>
      </c>
      <c r="H175" s="3">
        <v>73.0</v>
      </c>
      <c r="I175" s="18">
        <f t="shared" si="6"/>
        <v>0.004035666911</v>
      </c>
      <c r="N175" s="16"/>
      <c r="O175" s="16">
        <v>7.73657748041421</v>
      </c>
      <c r="P175" s="16">
        <v>-7.095466317175</v>
      </c>
      <c r="Q175" s="16">
        <v>65.590298643508</v>
      </c>
      <c r="R175" s="16">
        <v>2.1851244967E-4</v>
      </c>
      <c r="S175" s="16">
        <v>66.23162831919689</v>
      </c>
      <c r="V175" s="16">
        <v>0.64</v>
      </c>
      <c r="W175" s="16">
        <v>1.0</v>
      </c>
    </row>
    <row r="176" ht="12.75" customHeight="1">
      <c r="C176" s="8">
        <f t="shared" si="1"/>
        <v>3.904951845</v>
      </c>
      <c r="D176" s="8">
        <f t="shared" si="2"/>
        <v>-3.0380735</v>
      </c>
      <c r="E176" s="8">
        <f t="shared" si="3"/>
        <v>30.76936964</v>
      </c>
      <c r="F176" s="8">
        <f t="shared" si="4"/>
        <v>0.0004598925712</v>
      </c>
      <c r="G176" s="17">
        <f t="shared" si="5"/>
        <v>31.63670788</v>
      </c>
      <c r="H176" s="3">
        <v>74.0</v>
      </c>
      <c r="I176" s="18">
        <f t="shared" si="6"/>
        <v>0.003163670788</v>
      </c>
      <c r="N176" s="16"/>
      <c r="O176" s="16">
        <v>6.07072345699107</v>
      </c>
      <c r="P176" s="16">
        <v>-5.5444841367434</v>
      </c>
      <c r="Q176" s="16">
        <v>51.3949910448349</v>
      </c>
      <c r="R176" s="16">
        <v>4.5989257118E-4</v>
      </c>
      <c r="S176" s="16">
        <v>51.92169025765375</v>
      </c>
      <c r="V176" s="16">
        <v>0.64</v>
      </c>
      <c r="W176" s="16">
        <v>1.0</v>
      </c>
    </row>
    <row r="177" ht="12.75" customHeight="1">
      <c r="C177" s="8">
        <f t="shared" si="1"/>
        <v>3.106967282</v>
      </c>
      <c r="D177" s="8">
        <f t="shared" si="2"/>
        <v>-2.405329757</v>
      </c>
      <c r="E177" s="8">
        <f t="shared" si="3"/>
        <v>24.43576112</v>
      </c>
      <c r="F177" s="8">
        <f t="shared" si="4"/>
        <v>0.0006242285964</v>
      </c>
      <c r="G177" s="17">
        <f t="shared" si="5"/>
        <v>25.13802287</v>
      </c>
      <c r="H177" s="3">
        <v>75.0</v>
      </c>
      <c r="I177" s="18">
        <f t="shared" si="6"/>
        <v>0.002513802287</v>
      </c>
      <c r="N177" s="16"/>
      <c r="O177" s="16">
        <v>4.83015921972982</v>
      </c>
      <c r="P177" s="16">
        <v>-4.3897268067253</v>
      </c>
      <c r="Q177" s="16">
        <v>40.8157768078842</v>
      </c>
      <c r="R177" s="16">
        <v>6.2422859637E-4</v>
      </c>
      <c r="S177" s="16">
        <v>41.25683344948509</v>
      </c>
      <c r="V177" s="16">
        <v>0.64</v>
      </c>
      <c r="W177" s="16">
        <v>1.0</v>
      </c>
    </row>
    <row r="178" ht="12.75" customHeight="1">
      <c r="C178" s="8">
        <f t="shared" si="1"/>
        <v>2.485262421</v>
      </c>
      <c r="D178" s="8">
        <f t="shared" si="2"/>
        <v>-1.91250371</v>
      </c>
      <c r="E178" s="8">
        <f t="shared" si="3"/>
        <v>19.49581364</v>
      </c>
      <c r="F178" s="8">
        <f t="shared" si="4"/>
        <v>0.0007394453041</v>
      </c>
      <c r="G178" s="17">
        <f t="shared" si="5"/>
        <v>20.0693118</v>
      </c>
      <c r="H178" s="3">
        <v>76.0</v>
      </c>
      <c r="I178" s="18">
        <f t="shared" si="6"/>
        <v>0.00200693118</v>
      </c>
      <c r="N178" s="16"/>
      <c r="O178" s="16">
        <v>3.8636432588052</v>
      </c>
      <c r="P178" s="16">
        <v>-3.4903192713949</v>
      </c>
      <c r="Q178" s="16">
        <v>32.5644359760695</v>
      </c>
      <c r="R178" s="16">
        <v>7.3944530414E-4</v>
      </c>
      <c r="S178" s="16">
        <v>32.93849940878394</v>
      </c>
      <c r="V178" s="16">
        <v>0.64</v>
      </c>
      <c r="W178" s="16">
        <v>1.0</v>
      </c>
    </row>
    <row r="179" ht="12.75" customHeight="1">
      <c r="C179" s="8">
        <f t="shared" si="1"/>
        <v>2.029787818</v>
      </c>
      <c r="D179" s="8">
        <f t="shared" si="2"/>
        <v>-1.551589992</v>
      </c>
      <c r="E179" s="8">
        <f t="shared" si="3"/>
        <v>15.87091755</v>
      </c>
      <c r="F179" s="8">
        <f t="shared" si="4"/>
        <v>0.0007753849547</v>
      </c>
      <c r="G179" s="17">
        <f t="shared" si="5"/>
        <v>16.34989076</v>
      </c>
      <c r="H179" s="3">
        <v>77.0</v>
      </c>
      <c r="I179" s="18">
        <f t="shared" si="6"/>
        <v>0.001634989076</v>
      </c>
      <c r="N179" s="16"/>
      <c r="O179" s="16">
        <v>3.15555249053578</v>
      </c>
      <c r="P179" s="16">
        <v>-2.8316517352972</v>
      </c>
      <c r="Q179" s="16">
        <v>26.5096644835514</v>
      </c>
      <c r="R179" s="16">
        <v>7.7538495467E-4</v>
      </c>
      <c r="S179" s="16">
        <v>26.83434062374465</v>
      </c>
      <c r="V179" s="16">
        <v>0.64</v>
      </c>
      <c r="W179" s="16">
        <v>1.0</v>
      </c>
    </row>
    <row r="180" ht="12.75" customHeight="1">
      <c r="C180" s="8">
        <f t="shared" si="1"/>
        <v>1.687378038</v>
      </c>
      <c r="D180" s="8">
        <f t="shared" si="2"/>
        <v>-1.280319004</v>
      </c>
      <c r="E180" s="8">
        <f t="shared" si="3"/>
        <v>13.13941048</v>
      </c>
      <c r="F180" s="8">
        <f t="shared" si="4"/>
        <v>0.0007825777844</v>
      </c>
      <c r="G180" s="17">
        <f t="shared" si="5"/>
        <v>13.54725209</v>
      </c>
      <c r="H180" s="3">
        <v>78.0</v>
      </c>
      <c r="I180" s="18">
        <f t="shared" si="6"/>
        <v>0.001354725209</v>
      </c>
      <c r="N180" s="16"/>
      <c r="O180" s="16">
        <v>2.62323476525883</v>
      </c>
      <c r="P180" s="16">
        <v>-2.3365821820367</v>
      </c>
      <c r="Q180" s="16">
        <v>21.9471471703453</v>
      </c>
      <c r="R180" s="16">
        <v>7.8257778436E-4</v>
      </c>
      <c r="S180" s="16">
        <v>22.234582331351792</v>
      </c>
      <c r="V180" s="16">
        <v>0.64</v>
      </c>
      <c r="W180" s="16">
        <v>1.0</v>
      </c>
    </row>
    <row r="181" ht="12.75" customHeight="1">
      <c r="C181" s="8">
        <f t="shared" si="1"/>
        <v>1.416868067</v>
      </c>
      <c r="D181" s="8">
        <f t="shared" si="2"/>
        <v>-1.06599601</v>
      </c>
      <c r="E181" s="8">
        <f t="shared" si="3"/>
        <v>10.97433179</v>
      </c>
      <c r="F181" s="8">
        <f t="shared" si="4"/>
        <v>0.000764149211</v>
      </c>
      <c r="G181" s="17">
        <f t="shared" si="5"/>
        <v>11.325968</v>
      </c>
      <c r="H181" s="3">
        <v>79.0</v>
      </c>
      <c r="I181" s="18">
        <f t="shared" si="6"/>
        <v>0.0011325968</v>
      </c>
      <c r="N181" s="16"/>
      <c r="O181" s="16">
        <v>2.20269405395949</v>
      </c>
      <c r="P181" s="16">
        <v>-1.9454427187391</v>
      </c>
      <c r="Q181" s="16">
        <v>18.3307519996796</v>
      </c>
      <c r="R181" s="16">
        <v>7.64149211E-4</v>
      </c>
      <c r="S181" s="16">
        <v>18.58876748411099</v>
      </c>
      <c r="V181" s="16">
        <v>0.64</v>
      </c>
      <c r="W181" s="16">
        <v>1.0</v>
      </c>
    </row>
    <row r="182" ht="12.75" customHeight="1">
      <c r="C182" s="8">
        <f t="shared" si="1"/>
        <v>1.208077677</v>
      </c>
      <c r="D182" s="8">
        <f t="shared" si="2"/>
        <v>-0.900477465</v>
      </c>
      <c r="E182" s="8">
        <f t="shared" si="3"/>
        <v>9.295516485</v>
      </c>
      <c r="F182" s="8">
        <f t="shared" si="4"/>
        <v>0.0007291143955</v>
      </c>
      <c r="G182" s="17">
        <f t="shared" si="5"/>
        <v>9.603845812</v>
      </c>
      <c r="H182" s="3">
        <v>80.0</v>
      </c>
      <c r="I182" s="18">
        <f t="shared" si="6"/>
        <v>0.0009603845812</v>
      </c>
      <c r="N182" s="16"/>
      <c r="O182" s="16">
        <v>1.87810395178429</v>
      </c>
      <c r="P182" s="16">
        <v>-1.6433713735742</v>
      </c>
      <c r="Q182" s="16">
        <v>15.5265769860005</v>
      </c>
      <c r="R182" s="16">
        <v>7.2911439551E-4</v>
      </c>
      <c r="S182" s="16">
        <v>15.7620386786061</v>
      </c>
      <c r="V182" s="16">
        <v>0.64</v>
      </c>
      <c r="W182" s="16">
        <v>1.0</v>
      </c>
    </row>
    <row r="183" ht="12.75" customHeight="1">
      <c r="C183" s="8">
        <f t="shared" si="1"/>
        <v>1.04150008</v>
      </c>
      <c r="D183" s="8">
        <f t="shared" si="2"/>
        <v>-0.7682108901</v>
      </c>
      <c r="E183" s="8">
        <f t="shared" si="3"/>
        <v>7.946637644</v>
      </c>
      <c r="F183" s="8">
        <f t="shared" si="4"/>
        <v>0.00069065156</v>
      </c>
      <c r="G183" s="17">
        <f t="shared" si="5"/>
        <v>8.220617485</v>
      </c>
      <c r="H183" s="3">
        <v>81.0</v>
      </c>
      <c r="I183" s="18">
        <f t="shared" si="6"/>
        <v>0.0008220617485</v>
      </c>
      <c r="N183" s="16"/>
      <c r="O183" s="16">
        <v>1.61913877945887</v>
      </c>
      <c r="P183" s="16">
        <v>-1.4019848744766</v>
      </c>
      <c r="Q183" s="16">
        <v>13.2735046354874</v>
      </c>
      <c r="R183" s="16">
        <v>6.9065155998E-4</v>
      </c>
      <c r="S183" s="16">
        <v>13.49134919202965</v>
      </c>
      <c r="V183" s="16">
        <v>0.64</v>
      </c>
      <c r="W183" s="16">
        <v>1.0</v>
      </c>
    </row>
    <row r="184" ht="12.75" customHeight="1">
      <c r="C184" s="8">
        <f t="shared" si="1"/>
        <v>0.9107143822</v>
      </c>
      <c r="D184" s="8">
        <f t="shared" si="2"/>
        <v>-0.6640507625</v>
      </c>
      <c r="E184" s="8">
        <f t="shared" si="3"/>
        <v>6.877101117</v>
      </c>
      <c r="F184" s="8">
        <f t="shared" si="4"/>
        <v>0.0006465951969</v>
      </c>
      <c r="G184" s="17">
        <f t="shared" si="5"/>
        <v>7.124411332</v>
      </c>
      <c r="H184" s="3">
        <v>82.0</v>
      </c>
      <c r="I184" s="18">
        <f t="shared" si="6"/>
        <v>0.0007124411332</v>
      </c>
      <c r="N184" s="16"/>
      <c r="O184" s="16">
        <v>1.41581647653201</v>
      </c>
      <c r="P184" s="16">
        <v>-1.2118926414801</v>
      </c>
      <c r="Q184" s="16">
        <v>11.487026040843</v>
      </c>
      <c r="R184" s="16">
        <v>6.4659519689E-4</v>
      </c>
      <c r="S184" s="16">
        <v>11.6915964710918</v>
      </c>
      <c r="V184" s="16">
        <v>0.64</v>
      </c>
      <c r="W184" s="16">
        <v>1.0</v>
      </c>
    </row>
    <row r="185" ht="12.75" customHeight="1">
      <c r="C185" s="8">
        <f t="shared" si="1"/>
        <v>0.8029424652</v>
      </c>
      <c r="D185" s="8">
        <f t="shared" si="2"/>
        <v>-0.577719904</v>
      </c>
      <c r="E185" s="8">
        <f t="shared" si="3"/>
        <v>5.982249348</v>
      </c>
      <c r="F185" s="8">
        <f t="shared" si="4"/>
        <v>0.0006055512156</v>
      </c>
      <c r="G185" s="17">
        <f t="shared" si="5"/>
        <v>6.208077461</v>
      </c>
      <c r="H185" s="3">
        <v>83.0</v>
      </c>
      <c r="I185" s="18">
        <f t="shared" si="6"/>
        <v>0.0006208077461</v>
      </c>
      <c r="N185" s="16"/>
      <c r="O185" s="16">
        <v>1.24827189974592</v>
      </c>
      <c r="P185" s="16">
        <v>-1.0543388248765</v>
      </c>
      <c r="Q185" s="16">
        <v>9.99232858199064</v>
      </c>
      <c r="R185" s="16">
        <v>6.0555121562E-4</v>
      </c>
      <c r="S185" s="16">
        <v>10.186867208075679</v>
      </c>
      <c r="V185" s="16">
        <v>0.64</v>
      </c>
      <c r="W185" s="16">
        <v>1.0</v>
      </c>
    </row>
    <row r="186" ht="12.75" customHeight="1">
      <c r="C186" s="8">
        <f t="shared" si="1"/>
        <v>0.7149542085</v>
      </c>
      <c r="D186" s="8">
        <f t="shared" si="2"/>
        <v>-0.5065172578</v>
      </c>
      <c r="E186" s="8">
        <f t="shared" si="3"/>
        <v>5.234817013</v>
      </c>
      <c r="F186" s="8">
        <f t="shared" si="4"/>
        <v>0.0005666623119</v>
      </c>
      <c r="G186" s="17">
        <f t="shared" si="5"/>
        <v>5.443820626</v>
      </c>
      <c r="H186" s="3">
        <v>84.0</v>
      </c>
      <c r="I186" s="18">
        <f t="shared" si="6"/>
        <v>0.0005443820626</v>
      </c>
      <c r="N186" s="16"/>
      <c r="O186" s="16">
        <v>1.11148343341068</v>
      </c>
      <c r="P186" s="16">
        <v>-0.9243939954401</v>
      </c>
      <c r="Q186" s="16">
        <v>8.74387017567639</v>
      </c>
      <c r="R186" s="16">
        <v>5.6666231194E-4</v>
      </c>
      <c r="S186" s="16">
        <v>8.931526275958909</v>
      </c>
      <c r="V186" s="16">
        <v>0.64</v>
      </c>
      <c r="W186" s="16">
        <v>1.0</v>
      </c>
    </row>
    <row r="187" ht="12.75" customHeight="1">
      <c r="C187" s="8">
        <f t="shared" si="1"/>
        <v>0.6437280277</v>
      </c>
      <c r="D187" s="8">
        <f t="shared" si="2"/>
        <v>-0.4478245239</v>
      </c>
      <c r="E187" s="8">
        <f t="shared" si="3"/>
        <v>4.607543865</v>
      </c>
      <c r="F187" s="8">
        <f t="shared" si="4"/>
        <v>0.0005298918925</v>
      </c>
      <c r="G187" s="17">
        <f t="shared" si="5"/>
        <v>4.803977261</v>
      </c>
      <c r="H187" s="3">
        <v>85.0</v>
      </c>
      <c r="I187" s="18">
        <f t="shared" si="6"/>
        <v>0.0004803977261</v>
      </c>
      <c r="N187" s="16"/>
      <c r="O187" s="16">
        <v>1.00075365651499</v>
      </c>
      <c r="P187" s="16">
        <v>-0.8172797561233</v>
      </c>
      <c r="Q187" s="16">
        <v>7.69611722531149</v>
      </c>
      <c r="R187" s="16">
        <v>5.2989189254E-4</v>
      </c>
      <c r="S187" s="16">
        <v>7.8801210175957195</v>
      </c>
      <c r="V187" s="16">
        <v>0.64</v>
      </c>
      <c r="W187" s="16">
        <v>1.0</v>
      </c>
    </row>
    <row r="188" ht="12.75" customHeight="1">
      <c r="C188" s="8">
        <f t="shared" si="1"/>
        <v>0.5830627227</v>
      </c>
      <c r="D188" s="8">
        <f t="shared" si="2"/>
        <v>-0.3963003024</v>
      </c>
      <c r="E188" s="8">
        <f t="shared" si="3"/>
        <v>4.043434602</v>
      </c>
      <c r="F188" s="8">
        <f t="shared" si="4"/>
        <v>0.0004905984319</v>
      </c>
      <c r="G188" s="17">
        <f t="shared" si="5"/>
        <v>4.230687621</v>
      </c>
      <c r="H188" s="3">
        <v>86.0</v>
      </c>
      <c r="I188" s="18">
        <f t="shared" si="6"/>
        <v>0.0004230687621</v>
      </c>
      <c r="N188" s="16"/>
      <c r="O188" s="16">
        <v>0.90644204795847</v>
      </c>
      <c r="P188" s="16">
        <v>-0.7232480519643</v>
      </c>
      <c r="Q188" s="16">
        <v>6.75386878636404</v>
      </c>
      <c r="R188" s="16">
        <v>4.9059843189E-4</v>
      </c>
      <c r="S188" s="16">
        <v>6.9375533807901</v>
      </c>
      <c r="V188" s="16">
        <v>0.64</v>
      </c>
      <c r="W188" s="16">
        <v>1.0</v>
      </c>
    </row>
    <row r="189" ht="12.75" customHeight="1">
      <c r="C189" s="8">
        <f t="shared" si="1"/>
        <v>0.5360001178</v>
      </c>
      <c r="D189" s="8">
        <f t="shared" si="2"/>
        <v>-0.3541508168</v>
      </c>
      <c r="E189" s="8">
        <f t="shared" si="3"/>
        <v>3.56603648</v>
      </c>
      <c r="F189" s="8">
        <f t="shared" si="4"/>
        <v>0.0004558164561</v>
      </c>
      <c r="G189" s="17">
        <f t="shared" si="5"/>
        <v>3.748341598</v>
      </c>
      <c r="H189" s="3">
        <v>87.0</v>
      </c>
      <c r="I189" s="18">
        <f t="shared" si="6"/>
        <v>0.0003748341598</v>
      </c>
      <c r="N189" s="16"/>
      <c r="O189" s="16">
        <v>0.83327749411234</v>
      </c>
      <c r="P189" s="16">
        <v>-0.6463252406837</v>
      </c>
      <c r="Q189" s="16">
        <v>5.95645653810458</v>
      </c>
      <c r="R189" s="16">
        <v>4.5581645612E-4</v>
      </c>
      <c r="S189" s="16">
        <v>6.1438646079893395</v>
      </c>
      <c r="V189" s="16">
        <v>0.64</v>
      </c>
      <c r="W189" s="16">
        <v>1.0</v>
      </c>
    </row>
    <row r="190" ht="12.75" customHeight="1">
      <c r="C190" s="8">
        <f t="shared" si="1"/>
        <v>0.4970879274</v>
      </c>
      <c r="D190" s="8">
        <f t="shared" si="2"/>
        <v>-0.3161501592</v>
      </c>
      <c r="E190" s="8">
        <f t="shared" si="3"/>
        <v>3.11633952</v>
      </c>
      <c r="F190" s="8">
        <f t="shared" si="4"/>
        <v>0.0004221055452</v>
      </c>
      <c r="G190" s="17">
        <f t="shared" si="5"/>
        <v>3.297699394</v>
      </c>
      <c r="H190" s="3">
        <v>88.0</v>
      </c>
      <c r="I190" s="18">
        <f t="shared" si="6"/>
        <v>0.0003297699394</v>
      </c>
      <c r="N190" s="16"/>
      <c r="O190" s="16">
        <v>0.77278375274182</v>
      </c>
      <c r="P190" s="16">
        <v>-0.5769740404654</v>
      </c>
      <c r="Q190" s="16">
        <v>5.2053143634111</v>
      </c>
      <c r="R190" s="16">
        <v>4.2210554521E-4</v>
      </c>
      <c r="S190" s="16">
        <v>5.40154618123273</v>
      </c>
      <c r="V190" s="16">
        <v>0.64</v>
      </c>
      <c r="W190" s="16">
        <v>1.0</v>
      </c>
    </row>
    <row r="191" ht="12.75" customHeight="1">
      <c r="C191" s="8">
        <f t="shared" si="1"/>
        <v>0.4690377638</v>
      </c>
      <c r="D191" s="8">
        <f t="shared" si="2"/>
        <v>-0.2842597646</v>
      </c>
      <c r="E191" s="8">
        <f t="shared" si="3"/>
        <v>2.71600765</v>
      </c>
      <c r="F191" s="8">
        <f t="shared" si="4"/>
        <v>0.0003923274962</v>
      </c>
      <c r="G191" s="17">
        <f t="shared" si="5"/>
        <v>2.901177977</v>
      </c>
      <c r="H191" s="3">
        <v>89.0</v>
      </c>
      <c r="I191" s="18">
        <f t="shared" si="6"/>
        <v>0.0002901177977</v>
      </c>
      <c r="N191" s="16"/>
      <c r="O191" s="16">
        <v>0.72917635543</v>
      </c>
      <c r="P191" s="16">
        <v>-0.5187740703559</v>
      </c>
      <c r="Q191" s="16">
        <v>4.53662816240397</v>
      </c>
      <c r="R191" s="16">
        <v>3.9232749617E-4</v>
      </c>
      <c r="S191" s="16">
        <v>4.74742277497424</v>
      </c>
      <c r="V191" s="16">
        <v>0.64</v>
      </c>
      <c r="W191" s="16">
        <v>1.0</v>
      </c>
    </row>
    <row r="192" ht="12.75" customHeight="1">
      <c r="C192" s="8">
        <f t="shared" si="1"/>
        <v>0.4520889857</v>
      </c>
      <c r="D192" s="8">
        <f t="shared" si="2"/>
        <v>-0.2577976094</v>
      </c>
      <c r="E192" s="8">
        <f t="shared" si="3"/>
        <v>2.354479997</v>
      </c>
      <c r="F192" s="8">
        <f t="shared" si="4"/>
        <v>0.0003686156716</v>
      </c>
      <c r="G192" s="17">
        <f t="shared" si="5"/>
        <v>2.549139989</v>
      </c>
      <c r="H192" s="3">
        <v>90.0</v>
      </c>
      <c r="I192" s="18">
        <f t="shared" si="6"/>
        <v>0.0002549139989</v>
      </c>
      <c r="N192" s="16"/>
      <c r="O192" s="16">
        <v>0.70282741468942</v>
      </c>
      <c r="P192" s="16">
        <v>-0.4704806370751</v>
      </c>
      <c r="Q192" s="16">
        <v>3.93275779665746</v>
      </c>
      <c r="R192" s="16">
        <v>3.6861567161E-4</v>
      </c>
      <c r="S192" s="16">
        <v>4.165473189943389</v>
      </c>
      <c r="V192" s="16">
        <v>0.64</v>
      </c>
      <c r="W192" s="16">
        <v>1.0</v>
      </c>
    </row>
    <row r="193" ht="12.75" customHeight="1">
      <c r="C193" s="8">
        <f t="shared" si="1"/>
        <v>0.4459163722</v>
      </c>
      <c r="D193" s="8">
        <f t="shared" si="2"/>
        <v>-0.2357555094</v>
      </c>
      <c r="E193" s="8">
        <f t="shared" si="3"/>
        <v>2.018161025</v>
      </c>
      <c r="F193" s="8">
        <f t="shared" si="4"/>
        <v>0.0003493430388</v>
      </c>
      <c r="G193" s="17">
        <f t="shared" si="5"/>
        <v>2.228671231</v>
      </c>
      <c r="H193" s="3">
        <v>91.0</v>
      </c>
      <c r="I193" s="18">
        <f t="shared" si="6"/>
        <v>0.0002228671231</v>
      </c>
      <c r="N193" s="16"/>
      <c r="O193" s="16">
        <v>0.69323133496994</v>
      </c>
      <c r="P193" s="16">
        <v>-0.430253804711</v>
      </c>
      <c r="Q193" s="16">
        <v>3.37099423934602</v>
      </c>
      <c r="R193" s="16">
        <v>3.4934303881E-4</v>
      </c>
      <c r="S193" s="16">
        <v>3.6343211126437702</v>
      </c>
      <c r="V193" s="16">
        <v>0.64</v>
      </c>
      <c r="W193" s="16">
        <v>1.0</v>
      </c>
    </row>
    <row r="194" ht="12.75" customHeight="1">
      <c r="C194" s="8">
        <f t="shared" si="1"/>
        <v>0.4523438753</v>
      </c>
      <c r="D194" s="8">
        <f t="shared" si="2"/>
        <v>-0.219969873</v>
      </c>
      <c r="E194" s="8">
        <f t="shared" si="3"/>
        <v>1.730476163</v>
      </c>
      <c r="F194" s="8">
        <f t="shared" si="4"/>
        <v>0.0003377337528</v>
      </c>
      <c r="G194" s="17">
        <f t="shared" si="5"/>
        <v>1.963187899</v>
      </c>
      <c r="H194" s="3">
        <v>92.0</v>
      </c>
      <c r="I194" s="18">
        <f t="shared" si="6"/>
        <v>0.0001963187899</v>
      </c>
      <c r="N194" s="16"/>
      <c r="O194" s="16">
        <v>0.70322367163665</v>
      </c>
      <c r="P194" s="16">
        <v>-0.4014450183117</v>
      </c>
      <c r="Q194" s="16">
        <v>2.89046567941781</v>
      </c>
      <c r="R194" s="16">
        <v>3.377337528E-4</v>
      </c>
      <c r="S194" s="16">
        <v>3.19258206649556</v>
      </c>
      <c r="V194" s="16">
        <v>0.64</v>
      </c>
      <c r="W194" s="16">
        <v>1.0</v>
      </c>
    </row>
    <row r="195" ht="12.75" customHeight="1">
      <c r="C195" s="8">
        <f t="shared" si="1"/>
        <v>0.4703480684</v>
      </c>
      <c r="D195" s="8">
        <f t="shared" si="2"/>
        <v>-0.2097084263</v>
      </c>
      <c r="E195" s="8">
        <f t="shared" si="3"/>
        <v>1.484558549</v>
      </c>
      <c r="F195" s="8">
        <f t="shared" si="4"/>
        <v>0.0003336394197</v>
      </c>
      <c r="G195" s="17">
        <f t="shared" si="5"/>
        <v>1.74553183</v>
      </c>
      <c r="H195" s="3">
        <v>93.0</v>
      </c>
      <c r="I195" s="18">
        <f t="shared" si="6"/>
        <v>0.000174553183</v>
      </c>
      <c r="N195" s="16"/>
      <c r="O195" s="16">
        <v>0.73121338360866</v>
      </c>
      <c r="P195" s="16">
        <v>-0.3827178779154</v>
      </c>
      <c r="Q195" s="16">
        <v>2.47970219095995</v>
      </c>
      <c r="R195" s="16">
        <v>3.3363941974E-4</v>
      </c>
      <c r="S195" s="16">
        <v>2.8285313360729503</v>
      </c>
      <c r="V195" s="16">
        <v>0.64</v>
      </c>
      <c r="W195" s="16">
        <v>1.0</v>
      </c>
    </row>
    <row r="196" ht="12.75" customHeight="1">
      <c r="C196" s="8">
        <f t="shared" si="1"/>
        <v>0.4965714513</v>
      </c>
      <c r="D196" s="8">
        <f t="shared" si="2"/>
        <v>-0.2048889249</v>
      </c>
      <c r="E196" s="8">
        <f t="shared" si="3"/>
        <v>1.293715026</v>
      </c>
      <c r="F196" s="8">
        <f t="shared" si="4"/>
        <v>0.0003367396716</v>
      </c>
      <c r="G196" s="17">
        <f t="shared" si="5"/>
        <v>1.585734292</v>
      </c>
      <c r="H196" s="3">
        <v>94.0</v>
      </c>
      <c r="I196" s="18">
        <f t="shared" si="6"/>
        <v>0.0001585734292</v>
      </c>
      <c r="N196" s="16"/>
      <c r="O196" s="16">
        <v>0.77198082769178</v>
      </c>
      <c r="P196" s="16">
        <v>-0.3739222879704</v>
      </c>
      <c r="Q196" s="16">
        <v>2.16093059293612</v>
      </c>
      <c r="R196" s="16">
        <v>3.3673967162E-4</v>
      </c>
      <c r="S196" s="16">
        <v>2.55932587232912</v>
      </c>
      <c r="V196" s="16">
        <v>0.64</v>
      </c>
      <c r="W196" s="16">
        <v>1.0</v>
      </c>
    </row>
    <row r="197" ht="12.75" customHeight="1">
      <c r="C197" s="8">
        <f t="shared" si="1"/>
        <v>0.5289442049</v>
      </c>
      <c r="D197" s="8">
        <f t="shared" si="2"/>
        <v>-0.2039526979</v>
      </c>
      <c r="E197" s="8">
        <f t="shared" si="3"/>
        <v>1.141139926</v>
      </c>
      <c r="F197" s="8">
        <f t="shared" si="4"/>
        <v>0.0003462465607</v>
      </c>
      <c r="G197" s="17">
        <f t="shared" si="5"/>
        <v>1.46647768</v>
      </c>
      <c r="H197" s="3">
        <v>95.0</v>
      </c>
      <c r="I197" s="18">
        <f t="shared" si="6"/>
        <v>0.000146647768</v>
      </c>
      <c r="N197" s="16"/>
      <c r="O197" s="16">
        <v>0.82230821764682</v>
      </c>
      <c r="P197" s="16">
        <v>-0.3722136737302</v>
      </c>
      <c r="Q197" s="16">
        <v>1.90607987705252</v>
      </c>
      <c r="R197" s="16">
        <v>3.4624656074E-4</v>
      </c>
      <c r="S197" s="16">
        <v>2.35652066752988</v>
      </c>
      <c r="V197" s="16">
        <v>0.64</v>
      </c>
      <c r="W197" s="16">
        <v>1.0</v>
      </c>
    </row>
    <row r="198" ht="12.75" customHeight="1">
      <c r="C198" s="8">
        <f t="shared" si="1"/>
        <v>0.5630293603</v>
      </c>
      <c r="D198" s="8">
        <f t="shared" si="2"/>
        <v>-0.205874683</v>
      </c>
      <c r="E198" s="8">
        <f t="shared" si="3"/>
        <v>1.028760816</v>
      </c>
      <c r="F198" s="8">
        <f t="shared" si="4"/>
        <v>0.0003604207266</v>
      </c>
      <c r="G198" s="17">
        <f t="shared" si="5"/>
        <v>1.386275914</v>
      </c>
      <c r="H198" s="3">
        <v>96.0</v>
      </c>
      <c r="I198" s="18">
        <f t="shared" si="6"/>
        <v>0.0001386275914</v>
      </c>
      <c r="N198" s="16"/>
      <c r="O198" s="16">
        <v>0.87529774501319</v>
      </c>
      <c r="P198" s="16">
        <v>-0.3757212965522</v>
      </c>
      <c r="Q198" s="16">
        <v>1.71836971404012</v>
      </c>
      <c r="R198" s="16">
        <v>3.6042072664E-4</v>
      </c>
      <c r="S198" s="16">
        <v>2.2183065832277498</v>
      </c>
      <c r="V198" s="16">
        <v>0.64</v>
      </c>
      <c r="W198" s="16">
        <v>1.0</v>
      </c>
    </row>
    <row r="199" ht="12.75" customHeight="1">
      <c r="C199" s="8">
        <f t="shared" si="1"/>
        <v>0.5953719864</v>
      </c>
      <c r="D199" s="8">
        <f t="shared" si="2"/>
        <v>-0.2092250833</v>
      </c>
      <c r="E199" s="8">
        <f t="shared" si="3"/>
        <v>0.9476279534</v>
      </c>
      <c r="F199" s="8">
        <f t="shared" si="4"/>
        <v>0.0003793405454</v>
      </c>
      <c r="G199" s="17">
        <f t="shared" si="5"/>
        <v>1.334154197</v>
      </c>
      <c r="H199" s="3">
        <v>97.0</v>
      </c>
      <c r="I199" s="18">
        <f t="shared" si="6"/>
        <v>0.0001334154197</v>
      </c>
      <c r="N199" s="16"/>
      <c r="O199" s="16">
        <v>0.9255782981468</v>
      </c>
      <c r="P199" s="16">
        <v>-0.3818357769367</v>
      </c>
      <c r="Q199" s="16">
        <v>1.58285108698306</v>
      </c>
      <c r="R199" s="16">
        <v>3.7934054542E-4</v>
      </c>
      <c r="S199" s="16">
        <v>2.12697294873858</v>
      </c>
      <c r="V199" s="16">
        <v>0.64</v>
      </c>
      <c r="W199" s="16">
        <v>1.0</v>
      </c>
    </row>
    <row r="200" ht="12.75" customHeight="1">
      <c r="C200" s="8">
        <f t="shared" si="1"/>
        <v>0.6227474924</v>
      </c>
      <c r="D200" s="8">
        <f t="shared" si="2"/>
        <v>-0.2127853208</v>
      </c>
      <c r="E200" s="8">
        <f t="shared" si="3"/>
        <v>0.8912456494</v>
      </c>
      <c r="F200" s="8">
        <f t="shared" si="4"/>
        <v>0.000398304717</v>
      </c>
      <c r="G200" s="17">
        <f t="shared" si="5"/>
        <v>1.301606126</v>
      </c>
      <c r="H200" s="3">
        <v>98.0</v>
      </c>
      <c r="I200" s="18">
        <f t="shared" si="6"/>
        <v>0.0001301606126</v>
      </c>
      <c r="N200" s="16"/>
      <c r="O200" s="16">
        <v>0.96813685786207</v>
      </c>
      <c r="P200" s="16">
        <v>-0.3883332104879</v>
      </c>
      <c r="Q200" s="16">
        <v>1.48867405170626</v>
      </c>
      <c r="R200" s="16">
        <v>3.9830471699E-4</v>
      </c>
      <c r="S200" s="16">
        <v>2.06887600379742</v>
      </c>
      <c r="V200" s="16">
        <v>0.64</v>
      </c>
      <c r="W200" s="16">
        <v>1.0</v>
      </c>
    </row>
    <row r="201" ht="12.75" customHeight="1">
      <c r="C201" s="8">
        <f t="shared" si="1"/>
        <v>0.6444666761</v>
      </c>
      <c r="D201" s="8">
        <f t="shared" si="2"/>
        <v>-0.2158717424</v>
      </c>
      <c r="E201" s="8">
        <f t="shared" si="3"/>
        <v>0.8512786372</v>
      </c>
      <c r="F201" s="8">
        <f t="shared" si="4"/>
        <v>0.0004163739517</v>
      </c>
      <c r="G201" s="17">
        <f t="shared" si="5"/>
        <v>1.280289945</v>
      </c>
      <c r="H201" s="3">
        <v>99.0</v>
      </c>
      <c r="I201" s="18">
        <f t="shared" si="6"/>
        <v>0.0001280289945</v>
      </c>
      <c r="N201" s="16"/>
      <c r="O201" s="16">
        <v>1.00190197549888</v>
      </c>
      <c r="P201" s="16">
        <v>-0.3939659299632</v>
      </c>
      <c r="Q201" s="16">
        <v>1.42191596546157</v>
      </c>
      <c r="R201" s="16">
        <v>4.1637395171E-4</v>
      </c>
      <c r="S201" s="16">
        <v>2.0302683849489602</v>
      </c>
      <c r="V201" s="16">
        <v>0.64</v>
      </c>
      <c r="W201" s="16">
        <v>1.0</v>
      </c>
    </row>
    <row r="202" ht="12.75" customHeight="1">
      <c r="C202" s="8">
        <f t="shared" si="1"/>
        <v>0.6602756189</v>
      </c>
      <c r="D202" s="8">
        <f t="shared" si="2"/>
        <v>-0.2180706322</v>
      </c>
      <c r="E202" s="8">
        <f t="shared" si="3"/>
        <v>0.8220184939</v>
      </c>
      <c r="F202" s="8">
        <f t="shared" si="4"/>
        <v>0.0004325666227</v>
      </c>
      <c r="G202" s="17">
        <f t="shared" si="5"/>
        <v>1.264656047</v>
      </c>
      <c r="H202" s="3">
        <v>100.0</v>
      </c>
      <c r="I202" s="18">
        <f t="shared" si="6"/>
        <v>0.0001264656047</v>
      </c>
      <c r="N202" s="16"/>
      <c r="O202" s="16">
        <v>1.02647890329309</v>
      </c>
      <c r="P202" s="16">
        <v>-0.3979789036831</v>
      </c>
      <c r="Q202" s="16">
        <v>1.37304187990215</v>
      </c>
      <c r="R202" s="16">
        <v>4.3256662267E-4</v>
      </c>
      <c r="S202" s="16">
        <v>2.00197444613481</v>
      </c>
      <c r="V202" s="16">
        <v>0.64</v>
      </c>
      <c r="W202" s="16">
        <v>1.0</v>
      </c>
    </row>
    <row r="203" ht="12.75" customHeight="1">
      <c r="G203" s="17"/>
      <c r="I203" s="18"/>
      <c r="N203" s="16"/>
      <c r="O203" s="16"/>
      <c r="P203" s="16"/>
      <c r="Q203" s="16"/>
      <c r="R203" s="16"/>
      <c r="S203" s="16"/>
    </row>
    <row r="204" ht="12.75" customHeight="1">
      <c r="G204" s="17"/>
      <c r="I204" s="18"/>
      <c r="N204" s="16"/>
      <c r="O204" s="16"/>
      <c r="P204" s="16"/>
      <c r="Q204" s="16"/>
      <c r="R204" s="16"/>
      <c r="S204" s="16"/>
    </row>
    <row r="205" ht="12.75" customHeight="1">
      <c r="G205" s="17"/>
      <c r="I205" s="18"/>
      <c r="N205" s="16"/>
      <c r="O205" s="16"/>
      <c r="P205" s="16"/>
      <c r="Q205" s="16"/>
      <c r="R205" s="16"/>
      <c r="S205" s="16"/>
    </row>
    <row r="206" ht="12.75" customHeight="1">
      <c r="G206" s="17"/>
      <c r="I206" s="18"/>
      <c r="N206" s="16"/>
      <c r="O206" s="16"/>
      <c r="P206" s="16"/>
      <c r="Q206" s="16"/>
      <c r="R206" s="16"/>
      <c r="S206" s="16"/>
    </row>
    <row r="207" ht="12.75" customHeight="1">
      <c r="G207" s="17"/>
      <c r="I207" s="18"/>
      <c r="N207" s="16"/>
      <c r="O207" s="16"/>
      <c r="P207" s="16"/>
      <c r="Q207" s="16"/>
      <c r="R207" s="16"/>
      <c r="S207" s="16"/>
    </row>
    <row r="208" ht="12.75" customHeight="1">
      <c r="G208" s="17"/>
      <c r="I208" s="18"/>
      <c r="N208" s="16"/>
      <c r="O208" s="16"/>
      <c r="P208" s="16"/>
      <c r="Q208" s="16"/>
      <c r="R208" s="16"/>
      <c r="S208" s="16"/>
    </row>
    <row r="209" ht="12.75" customHeight="1">
      <c r="G209" s="17"/>
      <c r="I209" s="18"/>
      <c r="N209" s="16"/>
      <c r="O209" s="16"/>
      <c r="P209" s="16"/>
      <c r="Q209" s="16"/>
      <c r="R209" s="16"/>
      <c r="S209" s="16"/>
    </row>
    <row r="210" ht="12.75" customHeight="1">
      <c r="G210" s="17"/>
      <c r="I210" s="18"/>
      <c r="N210" s="16"/>
      <c r="O210" s="16"/>
      <c r="P210" s="16"/>
      <c r="Q210" s="16"/>
      <c r="R210" s="16"/>
      <c r="S210" s="16"/>
    </row>
    <row r="211" ht="12.75" customHeight="1">
      <c r="G211" s="17"/>
      <c r="I211" s="18"/>
      <c r="N211" s="16"/>
      <c r="O211" s="16"/>
      <c r="P211" s="16"/>
      <c r="Q211" s="16"/>
      <c r="R211" s="16"/>
      <c r="S211" s="16"/>
    </row>
    <row r="212" ht="12.75" customHeight="1">
      <c r="G212" s="17"/>
      <c r="I212" s="18"/>
      <c r="N212" s="16"/>
      <c r="O212" s="16"/>
      <c r="P212" s="16"/>
      <c r="Q212" s="16"/>
      <c r="R212" s="16"/>
      <c r="S212" s="16"/>
    </row>
    <row r="213" ht="12.75" customHeight="1">
      <c r="G213" s="17"/>
      <c r="I213" s="18"/>
      <c r="N213" s="16"/>
      <c r="O213" s="16"/>
      <c r="P213" s="16"/>
      <c r="Q213" s="16"/>
      <c r="R213" s="16"/>
      <c r="S213" s="16"/>
    </row>
    <row r="214" ht="12.75" customHeight="1">
      <c r="G214" s="17"/>
      <c r="I214" s="18"/>
      <c r="N214" s="16"/>
      <c r="O214" s="16"/>
      <c r="P214" s="16"/>
      <c r="Q214" s="16"/>
      <c r="R214" s="16"/>
      <c r="S214" s="16"/>
    </row>
    <row r="215" ht="12.75" customHeight="1">
      <c r="G215" s="17"/>
      <c r="I215" s="18"/>
      <c r="N215" s="16"/>
      <c r="O215" s="16"/>
      <c r="P215" s="16"/>
      <c r="Q215" s="16"/>
      <c r="R215" s="16"/>
      <c r="S215" s="16"/>
    </row>
    <row r="216" ht="12.75" customHeight="1">
      <c r="G216" s="17"/>
      <c r="I216" s="18"/>
      <c r="N216" s="16"/>
      <c r="O216" s="16"/>
      <c r="P216" s="16"/>
      <c r="Q216" s="16"/>
      <c r="R216" s="16"/>
      <c r="S216" s="16"/>
    </row>
    <row r="217" ht="12.75" customHeight="1">
      <c r="G217" s="17"/>
      <c r="I217" s="18"/>
      <c r="N217" s="16"/>
      <c r="O217" s="16"/>
      <c r="P217" s="16"/>
      <c r="Q217" s="16"/>
      <c r="R217" s="16"/>
      <c r="S217" s="16"/>
    </row>
    <row r="218" ht="12.75" customHeight="1">
      <c r="G218" s="17"/>
      <c r="I218" s="18"/>
      <c r="N218" s="16"/>
      <c r="O218" s="16"/>
      <c r="P218" s="16"/>
      <c r="Q218" s="16"/>
      <c r="R218" s="16"/>
      <c r="S218" s="16"/>
    </row>
    <row r="219" ht="12.75" customHeight="1">
      <c r="G219" s="17"/>
      <c r="I219" s="18"/>
      <c r="N219" s="16"/>
      <c r="O219" s="16"/>
      <c r="P219" s="16"/>
      <c r="Q219" s="16"/>
      <c r="R219" s="16"/>
      <c r="S219" s="16"/>
    </row>
    <row r="220" ht="12.75" customHeight="1">
      <c r="G220" s="17"/>
      <c r="I220" s="18"/>
      <c r="N220" s="16"/>
      <c r="O220" s="16"/>
      <c r="P220" s="16"/>
      <c r="Q220" s="16"/>
      <c r="R220" s="16"/>
      <c r="S220" s="16"/>
    </row>
    <row r="221" ht="12.75" customHeight="1">
      <c r="G221" s="17"/>
      <c r="I221" s="18"/>
      <c r="N221" s="16"/>
      <c r="O221" s="16"/>
      <c r="P221" s="16"/>
      <c r="Q221" s="16"/>
      <c r="R221" s="16"/>
      <c r="S221" s="16"/>
    </row>
    <row r="222" ht="12.75" customHeight="1">
      <c r="G222" s="17"/>
      <c r="I222" s="18"/>
      <c r="N222" s="16"/>
      <c r="O222" s="16"/>
      <c r="P222" s="16"/>
      <c r="Q222" s="16"/>
      <c r="R222" s="16"/>
      <c r="S222" s="16"/>
    </row>
    <row r="223" ht="12.75" customHeight="1">
      <c r="G223" s="17"/>
      <c r="I223" s="18"/>
      <c r="N223" s="16"/>
      <c r="O223" s="16"/>
      <c r="P223" s="16"/>
      <c r="Q223" s="16"/>
      <c r="R223" s="16"/>
      <c r="S223" s="16"/>
    </row>
    <row r="224" ht="12.75" customHeight="1">
      <c r="G224" s="17"/>
      <c r="I224" s="18"/>
      <c r="N224" s="16"/>
      <c r="O224" s="16"/>
      <c r="P224" s="16"/>
      <c r="Q224" s="16"/>
      <c r="R224" s="16"/>
      <c r="S224" s="16"/>
    </row>
    <row r="225" ht="12.75" customHeight="1">
      <c r="G225" s="17"/>
      <c r="I225" s="18"/>
      <c r="N225" s="16"/>
      <c r="O225" s="16"/>
      <c r="P225" s="16"/>
      <c r="Q225" s="16"/>
      <c r="R225" s="16"/>
      <c r="S225" s="16"/>
    </row>
    <row r="226" ht="12.75" customHeight="1">
      <c r="G226" s="17"/>
      <c r="I226" s="18"/>
      <c r="N226" s="16"/>
      <c r="O226" s="16"/>
      <c r="P226" s="16"/>
      <c r="Q226" s="16"/>
      <c r="R226" s="16"/>
      <c r="S226" s="16"/>
    </row>
    <row r="227" ht="12.75" customHeight="1">
      <c r="G227" s="17"/>
      <c r="I227" s="18"/>
      <c r="N227" s="16"/>
      <c r="O227" s="16"/>
      <c r="P227" s="16"/>
      <c r="Q227" s="16"/>
      <c r="R227" s="16"/>
      <c r="S227" s="16"/>
    </row>
    <row r="228" ht="12.75" customHeight="1">
      <c r="G228" s="17"/>
      <c r="I228" s="18"/>
      <c r="N228" s="16"/>
      <c r="O228" s="16"/>
      <c r="P228" s="16"/>
      <c r="Q228" s="16"/>
      <c r="R228" s="16"/>
      <c r="S228" s="16"/>
    </row>
    <row r="229" ht="12.75" customHeight="1">
      <c r="G229" s="17"/>
      <c r="I229" s="18"/>
      <c r="N229" s="16"/>
      <c r="O229" s="16"/>
      <c r="P229" s="16"/>
      <c r="Q229" s="16"/>
      <c r="R229" s="16"/>
      <c r="S229" s="16"/>
    </row>
    <row r="230" ht="12.75" customHeight="1">
      <c r="G230" s="17"/>
      <c r="I230" s="18"/>
      <c r="N230" s="16"/>
      <c r="O230" s="16"/>
      <c r="P230" s="16"/>
      <c r="Q230" s="16"/>
      <c r="R230" s="16"/>
      <c r="S230" s="16"/>
    </row>
    <row r="231" ht="12.75" customHeight="1">
      <c r="G231" s="17"/>
      <c r="I231" s="18"/>
      <c r="N231" s="16"/>
      <c r="O231" s="16"/>
      <c r="P231" s="16"/>
      <c r="Q231" s="16"/>
      <c r="R231" s="16"/>
      <c r="S231" s="16"/>
    </row>
    <row r="232" ht="12.75" customHeight="1">
      <c r="G232" s="17"/>
      <c r="I232" s="18"/>
      <c r="N232" s="16"/>
      <c r="O232" s="16"/>
      <c r="P232" s="16"/>
      <c r="Q232" s="16"/>
      <c r="R232" s="16"/>
      <c r="S232" s="16"/>
    </row>
    <row r="233" ht="12.75" customHeight="1">
      <c r="G233" s="17"/>
      <c r="I233" s="18"/>
      <c r="N233" s="16"/>
      <c r="O233" s="16"/>
      <c r="P233" s="16"/>
      <c r="Q233" s="16"/>
      <c r="R233" s="16"/>
      <c r="S233" s="16"/>
    </row>
    <row r="234" ht="12.75" customHeight="1">
      <c r="G234" s="17"/>
      <c r="I234" s="18"/>
      <c r="N234" s="16"/>
      <c r="O234" s="16"/>
      <c r="P234" s="16"/>
      <c r="Q234" s="16"/>
      <c r="R234" s="16"/>
      <c r="S234" s="16"/>
    </row>
    <row r="235" ht="12.75" customHeight="1">
      <c r="G235" s="17"/>
      <c r="I235" s="18"/>
      <c r="N235" s="16"/>
      <c r="O235" s="16"/>
      <c r="P235" s="16"/>
      <c r="Q235" s="16"/>
      <c r="R235" s="16"/>
      <c r="S235" s="16"/>
    </row>
    <row r="236" ht="12.75" customHeight="1">
      <c r="G236" s="17"/>
      <c r="I236" s="18"/>
      <c r="N236" s="16"/>
      <c r="O236" s="16"/>
      <c r="P236" s="16"/>
      <c r="Q236" s="16"/>
      <c r="R236" s="16"/>
      <c r="S236" s="16"/>
    </row>
    <row r="237" ht="12.75" customHeight="1">
      <c r="G237" s="17"/>
      <c r="I237" s="18"/>
      <c r="N237" s="16"/>
      <c r="O237" s="16"/>
      <c r="P237" s="16"/>
      <c r="Q237" s="16"/>
      <c r="R237" s="16"/>
      <c r="S237" s="16"/>
    </row>
    <row r="238" ht="12.75" customHeight="1">
      <c r="G238" s="17"/>
      <c r="I238" s="18"/>
      <c r="N238" s="16"/>
      <c r="O238" s="16"/>
      <c r="P238" s="16"/>
      <c r="Q238" s="16"/>
      <c r="R238" s="16"/>
      <c r="S238" s="16"/>
    </row>
    <row r="239" ht="12.75" customHeight="1">
      <c r="G239" s="17"/>
      <c r="I239" s="18"/>
      <c r="N239" s="16"/>
      <c r="O239" s="16"/>
      <c r="P239" s="16"/>
      <c r="Q239" s="16"/>
      <c r="R239" s="16"/>
      <c r="S239" s="16"/>
    </row>
    <row r="240" ht="12.75" customHeight="1">
      <c r="G240" s="17"/>
      <c r="I240" s="18"/>
      <c r="N240" s="16"/>
      <c r="O240" s="16"/>
      <c r="P240" s="16"/>
      <c r="Q240" s="16"/>
      <c r="R240" s="16"/>
      <c r="S240" s="16"/>
    </row>
    <row r="241" ht="12.75" customHeight="1">
      <c r="G241" s="17"/>
      <c r="I241" s="18"/>
      <c r="N241" s="16"/>
      <c r="O241" s="16"/>
      <c r="P241" s="16"/>
      <c r="Q241" s="16"/>
      <c r="R241" s="16"/>
      <c r="S241" s="16"/>
    </row>
    <row r="242" ht="12.75" customHeight="1">
      <c r="G242" s="17"/>
      <c r="I242" s="18"/>
      <c r="N242" s="16"/>
      <c r="O242" s="16"/>
      <c r="P242" s="16"/>
      <c r="Q242" s="16"/>
      <c r="R242" s="16"/>
      <c r="S242" s="16"/>
    </row>
    <row r="243" ht="12.75" customHeight="1">
      <c r="G243" s="17"/>
      <c r="I243" s="18"/>
      <c r="N243" s="16"/>
      <c r="O243" s="16"/>
      <c r="P243" s="16"/>
      <c r="Q243" s="16"/>
      <c r="R243" s="16"/>
      <c r="S243" s="16"/>
    </row>
    <row r="244" ht="12.75" customHeight="1">
      <c r="G244" s="17"/>
      <c r="I244" s="18"/>
      <c r="N244" s="16"/>
      <c r="O244" s="16"/>
      <c r="P244" s="16"/>
      <c r="Q244" s="16"/>
      <c r="R244" s="16"/>
      <c r="S244" s="16"/>
    </row>
    <row r="245" ht="12.75" customHeight="1">
      <c r="G245" s="17"/>
      <c r="I245" s="18"/>
      <c r="N245" s="16"/>
      <c r="O245" s="16"/>
      <c r="P245" s="16"/>
      <c r="Q245" s="16"/>
      <c r="R245" s="16"/>
      <c r="S245" s="16"/>
    </row>
    <row r="246" ht="12.75" customHeight="1">
      <c r="G246" s="17"/>
      <c r="I246" s="18"/>
      <c r="N246" s="16"/>
      <c r="O246" s="16"/>
      <c r="P246" s="16"/>
      <c r="Q246" s="16"/>
      <c r="R246" s="16"/>
      <c r="S246" s="16"/>
    </row>
    <row r="247" ht="12.75" customHeight="1">
      <c r="G247" s="17"/>
      <c r="I247" s="18"/>
      <c r="N247" s="16"/>
      <c r="O247" s="16"/>
      <c r="P247" s="16"/>
      <c r="Q247" s="16"/>
      <c r="R247" s="16"/>
      <c r="S247" s="16"/>
    </row>
    <row r="248" ht="12.75" customHeight="1">
      <c r="G248" s="17"/>
      <c r="I248" s="18"/>
      <c r="N248" s="16"/>
      <c r="O248" s="16"/>
      <c r="P248" s="16"/>
      <c r="Q248" s="16"/>
      <c r="R248" s="16"/>
      <c r="S248" s="16"/>
    </row>
    <row r="249" ht="12.75" customHeight="1">
      <c r="G249" s="17"/>
      <c r="I249" s="18"/>
      <c r="N249" s="16"/>
      <c r="O249" s="16"/>
      <c r="P249" s="16"/>
      <c r="Q249" s="16"/>
      <c r="R249" s="16"/>
      <c r="S249" s="16"/>
    </row>
    <row r="250" ht="12.75" customHeight="1">
      <c r="G250" s="17"/>
      <c r="I250" s="18"/>
      <c r="N250" s="16"/>
      <c r="O250" s="16"/>
      <c r="P250" s="16"/>
      <c r="Q250" s="16"/>
      <c r="R250" s="16"/>
      <c r="S250" s="16"/>
    </row>
    <row r="251" ht="12.75" customHeight="1">
      <c r="G251" s="17"/>
      <c r="I251" s="18"/>
      <c r="N251" s="16"/>
      <c r="O251" s="16"/>
      <c r="P251" s="16"/>
      <c r="Q251" s="16"/>
      <c r="R251" s="16"/>
      <c r="S251" s="16"/>
    </row>
    <row r="252" ht="12.75" customHeight="1">
      <c r="G252" s="17"/>
      <c r="I252" s="18"/>
      <c r="N252" s="16"/>
      <c r="O252" s="16"/>
      <c r="P252" s="16"/>
      <c r="Q252" s="16"/>
      <c r="R252" s="16"/>
      <c r="S252" s="16"/>
    </row>
    <row r="253" ht="12.75" customHeight="1">
      <c r="G253" s="17"/>
      <c r="I253" s="18"/>
      <c r="N253" s="16"/>
      <c r="O253" s="16"/>
      <c r="P253" s="16"/>
      <c r="Q253" s="16"/>
      <c r="R253" s="16"/>
      <c r="S253" s="16"/>
    </row>
    <row r="254" ht="12.75" customHeight="1">
      <c r="G254" s="17"/>
      <c r="I254" s="18"/>
      <c r="N254" s="16"/>
      <c r="O254" s="16"/>
      <c r="P254" s="16"/>
      <c r="Q254" s="16"/>
      <c r="R254" s="16"/>
      <c r="S254" s="16"/>
    </row>
    <row r="255" ht="12.75" customHeight="1">
      <c r="G255" s="17"/>
      <c r="I255" s="18"/>
      <c r="N255" s="16"/>
      <c r="O255" s="16"/>
      <c r="P255" s="16"/>
      <c r="Q255" s="16"/>
      <c r="R255" s="16"/>
      <c r="S255" s="16"/>
    </row>
    <row r="256" ht="12.75" customHeight="1">
      <c r="G256" s="17"/>
      <c r="I256" s="18"/>
      <c r="N256" s="16"/>
      <c r="O256" s="16"/>
      <c r="P256" s="16"/>
      <c r="Q256" s="16"/>
      <c r="R256" s="16"/>
      <c r="S256" s="16"/>
    </row>
    <row r="257" ht="12.75" customHeight="1">
      <c r="G257" s="17"/>
      <c r="I257" s="18"/>
      <c r="N257" s="16"/>
      <c r="O257" s="16"/>
      <c r="P257" s="16"/>
      <c r="Q257" s="16"/>
      <c r="R257" s="16"/>
      <c r="S257" s="16"/>
    </row>
    <row r="258" ht="12.75" customHeight="1">
      <c r="G258" s="17"/>
      <c r="I258" s="18"/>
      <c r="N258" s="16"/>
      <c r="O258" s="16"/>
      <c r="P258" s="16"/>
      <c r="Q258" s="16"/>
      <c r="R258" s="16"/>
      <c r="S258" s="16"/>
    </row>
    <row r="259" ht="12.75" customHeight="1">
      <c r="G259" s="17"/>
      <c r="I259" s="18"/>
      <c r="N259" s="16"/>
      <c r="O259" s="16"/>
      <c r="P259" s="16"/>
      <c r="Q259" s="16"/>
      <c r="R259" s="16"/>
      <c r="S259" s="16"/>
    </row>
    <row r="260" ht="12.75" customHeight="1">
      <c r="G260" s="17"/>
      <c r="I260" s="18"/>
      <c r="N260" s="16"/>
      <c r="O260" s="16"/>
      <c r="P260" s="16"/>
      <c r="Q260" s="16"/>
      <c r="R260" s="16"/>
      <c r="S260" s="16"/>
    </row>
    <row r="261" ht="12.75" customHeight="1">
      <c r="G261" s="17"/>
      <c r="I261" s="18"/>
      <c r="N261" s="16"/>
      <c r="O261" s="16"/>
      <c r="P261" s="16"/>
      <c r="Q261" s="16"/>
      <c r="R261" s="16"/>
      <c r="S261" s="16"/>
    </row>
    <row r="262" ht="12.75" customHeight="1">
      <c r="G262" s="17"/>
      <c r="I262" s="18"/>
      <c r="N262" s="16"/>
      <c r="O262" s="16"/>
      <c r="P262" s="16"/>
      <c r="Q262" s="16"/>
      <c r="R262" s="16"/>
      <c r="S262" s="16"/>
    </row>
    <row r="263" ht="12.75" customHeight="1">
      <c r="G263" s="17"/>
      <c r="I263" s="18"/>
      <c r="N263" s="16"/>
      <c r="O263" s="16"/>
      <c r="P263" s="16"/>
      <c r="Q263" s="16"/>
      <c r="R263" s="16"/>
      <c r="S263" s="16"/>
    </row>
    <row r="264" ht="12.75" customHeight="1">
      <c r="G264" s="17"/>
      <c r="I264" s="18"/>
      <c r="N264" s="16"/>
      <c r="O264" s="16"/>
      <c r="P264" s="16"/>
      <c r="Q264" s="16"/>
      <c r="R264" s="16"/>
      <c r="S264" s="16"/>
    </row>
    <row r="265" ht="12.75" customHeight="1">
      <c r="G265" s="17"/>
      <c r="I265" s="18"/>
      <c r="N265" s="16"/>
      <c r="O265" s="16"/>
      <c r="P265" s="16"/>
      <c r="Q265" s="16"/>
      <c r="R265" s="16"/>
      <c r="S265" s="16"/>
    </row>
    <row r="266" ht="12.75" customHeight="1">
      <c r="G266" s="17"/>
      <c r="I266" s="18"/>
      <c r="N266" s="16"/>
      <c r="O266" s="16"/>
      <c r="P266" s="16"/>
      <c r="Q266" s="16"/>
      <c r="R266" s="16"/>
      <c r="S266" s="16"/>
    </row>
    <row r="267" ht="12.75" customHeight="1">
      <c r="G267" s="17"/>
      <c r="I267" s="18"/>
      <c r="N267" s="16"/>
      <c r="O267" s="16"/>
      <c r="P267" s="16"/>
      <c r="Q267" s="16"/>
      <c r="R267" s="16"/>
      <c r="S267" s="16"/>
    </row>
    <row r="268" ht="12.75" customHeight="1">
      <c r="G268" s="17"/>
      <c r="I268" s="18"/>
      <c r="N268" s="16"/>
      <c r="O268" s="16"/>
      <c r="P268" s="16"/>
      <c r="Q268" s="16"/>
      <c r="R268" s="16"/>
      <c r="S268" s="16"/>
    </row>
    <row r="269" ht="12.75" customHeight="1">
      <c r="G269" s="17"/>
      <c r="I269" s="18"/>
      <c r="N269" s="16"/>
      <c r="O269" s="16"/>
      <c r="P269" s="16"/>
      <c r="Q269" s="16"/>
      <c r="R269" s="16"/>
      <c r="S269" s="16"/>
    </row>
    <row r="270" ht="12.75" customHeight="1">
      <c r="G270" s="17"/>
      <c r="I270" s="18"/>
      <c r="N270" s="16"/>
      <c r="O270" s="16"/>
      <c r="P270" s="16"/>
      <c r="Q270" s="16"/>
      <c r="R270" s="16"/>
      <c r="S270" s="16"/>
    </row>
    <row r="271" ht="12.75" customHeight="1">
      <c r="G271" s="17"/>
      <c r="I271" s="18"/>
      <c r="N271" s="16"/>
      <c r="O271" s="16"/>
      <c r="P271" s="16"/>
      <c r="Q271" s="16"/>
      <c r="R271" s="16"/>
      <c r="S271" s="16"/>
    </row>
    <row r="272" ht="12.75" customHeight="1">
      <c r="G272" s="17"/>
      <c r="I272" s="18"/>
      <c r="N272" s="16"/>
      <c r="O272" s="16"/>
      <c r="P272" s="16"/>
      <c r="Q272" s="16"/>
      <c r="R272" s="16"/>
      <c r="S272" s="16"/>
    </row>
    <row r="273" ht="12.75" customHeight="1">
      <c r="G273" s="17"/>
      <c r="I273" s="18"/>
      <c r="N273" s="16"/>
      <c r="O273" s="16"/>
      <c r="P273" s="16"/>
      <c r="Q273" s="16"/>
      <c r="R273" s="16"/>
      <c r="S273" s="16"/>
    </row>
    <row r="274" ht="12.75" customHeight="1">
      <c r="G274" s="17"/>
      <c r="I274" s="18"/>
      <c r="N274" s="16"/>
      <c r="O274" s="16"/>
      <c r="P274" s="16"/>
      <c r="Q274" s="16"/>
      <c r="R274" s="16"/>
      <c r="S274" s="16"/>
    </row>
    <row r="275" ht="12.75" customHeight="1">
      <c r="G275" s="17"/>
      <c r="I275" s="18"/>
      <c r="N275" s="16"/>
      <c r="O275" s="16"/>
      <c r="P275" s="16"/>
      <c r="Q275" s="16"/>
      <c r="R275" s="16"/>
      <c r="S275" s="16"/>
    </row>
    <row r="276" ht="12.75" customHeight="1">
      <c r="G276" s="17"/>
      <c r="I276" s="18"/>
      <c r="N276" s="16"/>
      <c r="O276" s="16"/>
      <c r="P276" s="16"/>
      <c r="Q276" s="16"/>
      <c r="R276" s="16"/>
      <c r="S276" s="16"/>
    </row>
    <row r="277" ht="12.75" customHeight="1">
      <c r="G277" s="17"/>
      <c r="I277" s="18"/>
      <c r="N277" s="16"/>
      <c r="O277" s="16"/>
      <c r="P277" s="16"/>
      <c r="Q277" s="16"/>
      <c r="R277" s="16"/>
      <c r="S277" s="16"/>
    </row>
    <row r="278" ht="12.75" customHeight="1">
      <c r="G278" s="17"/>
      <c r="I278" s="18"/>
      <c r="N278" s="16"/>
      <c r="O278" s="16"/>
      <c r="P278" s="16"/>
      <c r="Q278" s="16"/>
      <c r="R278" s="16"/>
      <c r="S278" s="16"/>
    </row>
    <row r="279" ht="12.75" customHeight="1">
      <c r="G279" s="17"/>
      <c r="I279" s="18"/>
      <c r="N279" s="16"/>
      <c r="O279" s="16"/>
      <c r="P279" s="16"/>
      <c r="Q279" s="16"/>
      <c r="R279" s="16"/>
      <c r="S279" s="16"/>
    </row>
    <row r="280" ht="12.75" customHeight="1">
      <c r="G280" s="17"/>
      <c r="I280" s="18"/>
      <c r="N280" s="16"/>
      <c r="O280" s="16"/>
      <c r="P280" s="16"/>
      <c r="Q280" s="16"/>
      <c r="R280" s="16"/>
      <c r="S280" s="16"/>
    </row>
    <row r="281" ht="12.75" customHeight="1">
      <c r="G281" s="17"/>
      <c r="I281" s="18"/>
      <c r="N281" s="16"/>
      <c r="O281" s="16"/>
      <c r="P281" s="16"/>
      <c r="Q281" s="16"/>
      <c r="R281" s="16"/>
      <c r="S281" s="16"/>
    </row>
    <row r="282" ht="12.75" customHeight="1">
      <c r="G282" s="17"/>
      <c r="I282" s="18"/>
      <c r="N282" s="16"/>
      <c r="O282" s="16"/>
      <c r="P282" s="16"/>
      <c r="Q282" s="16"/>
      <c r="R282" s="16"/>
      <c r="S282" s="16"/>
    </row>
    <row r="283" ht="12.75" customHeight="1">
      <c r="G283" s="17"/>
      <c r="I283" s="18"/>
      <c r="N283" s="16"/>
      <c r="O283" s="16"/>
      <c r="P283" s="16"/>
      <c r="Q283" s="16"/>
      <c r="R283" s="16"/>
      <c r="S283" s="16"/>
    </row>
    <row r="284" ht="12.75" customHeight="1">
      <c r="G284" s="17"/>
      <c r="I284" s="18"/>
      <c r="N284" s="16"/>
      <c r="O284" s="16"/>
      <c r="P284" s="16"/>
      <c r="Q284" s="16"/>
      <c r="R284" s="16"/>
      <c r="S284" s="16"/>
    </row>
    <row r="285" ht="12.75" customHeight="1">
      <c r="G285" s="17"/>
      <c r="I285" s="18"/>
      <c r="N285" s="16"/>
      <c r="O285" s="16"/>
      <c r="P285" s="16"/>
      <c r="Q285" s="16"/>
      <c r="R285" s="16"/>
      <c r="S285" s="16"/>
    </row>
    <row r="286" ht="12.75" customHeight="1">
      <c r="G286" s="17"/>
      <c r="I286" s="18"/>
      <c r="N286" s="16"/>
      <c r="O286" s="16"/>
      <c r="P286" s="16"/>
      <c r="Q286" s="16"/>
      <c r="R286" s="16"/>
      <c r="S286" s="16"/>
    </row>
    <row r="287" ht="12.75" customHeight="1">
      <c r="G287" s="17"/>
      <c r="I287" s="18"/>
      <c r="N287" s="16"/>
      <c r="O287" s="16"/>
      <c r="P287" s="16"/>
      <c r="Q287" s="16"/>
      <c r="R287" s="16"/>
      <c r="S287" s="16"/>
    </row>
    <row r="288" ht="12.75" customHeight="1">
      <c r="G288" s="17"/>
      <c r="I288" s="18"/>
      <c r="N288" s="16"/>
      <c r="O288" s="16"/>
      <c r="P288" s="16"/>
      <c r="Q288" s="16"/>
      <c r="R288" s="16"/>
      <c r="S288" s="16"/>
    </row>
    <row r="289" ht="12.75" customHeight="1">
      <c r="G289" s="17"/>
      <c r="I289" s="18"/>
      <c r="N289" s="16"/>
      <c r="O289" s="16"/>
      <c r="P289" s="16"/>
      <c r="Q289" s="16"/>
      <c r="R289" s="16"/>
      <c r="S289" s="16"/>
    </row>
    <row r="290" ht="12.75" customHeight="1">
      <c r="G290" s="17"/>
      <c r="I290" s="18"/>
      <c r="N290" s="16"/>
      <c r="O290" s="16"/>
      <c r="P290" s="16"/>
      <c r="Q290" s="16"/>
      <c r="R290" s="16"/>
      <c r="S290" s="16"/>
    </row>
    <row r="291" ht="12.75" customHeight="1">
      <c r="G291" s="17"/>
      <c r="I291" s="18"/>
      <c r="N291" s="16"/>
      <c r="O291" s="16"/>
      <c r="P291" s="16"/>
      <c r="Q291" s="16"/>
      <c r="R291" s="16"/>
      <c r="S291" s="16"/>
    </row>
    <row r="292" ht="12.75" customHeight="1">
      <c r="G292" s="17"/>
      <c r="I292" s="18"/>
      <c r="N292" s="16"/>
      <c r="O292" s="16"/>
      <c r="P292" s="16"/>
      <c r="Q292" s="16"/>
      <c r="R292" s="16"/>
      <c r="S292" s="16"/>
    </row>
    <row r="293" ht="12.75" customHeight="1">
      <c r="G293" s="17"/>
      <c r="I293" s="18"/>
      <c r="N293" s="16"/>
      <c r="O293" s="16"/>
      <c r="P293" s="16"/>
      <c r="Q293" s="16"/>
      <c r="R293" s="16"/>
      <c r="S293" s="16"/>
    </row>
    <row r="294" ht="12.75" customHeight="1">
      <c r="G294" s="17"/>
      <c r="I294" s="18"/>
      <c r="N294" s="16"/>
      <c r="O294" s="16"/>
      <c r="P294" s="16"/>
      <c r="Q294" s="16"/>
      <c r="R294" s="16"/>
      <c r="S294" s="16"/>
    </row>
    <row r="295" ht="12.75" customHeight="1">
      <c r="G295" s="17"/>
      <c r="I295" s="18"/>
      <c r="N295" s="16"/>
      <c r="O295" s="16"/>
      <c r="P295" s="16"/>
      <c r="Q295" s="16"/>
      <c r="R295" s="16"/>
      <c r="S295" s="16"/>
    </row>
    <row r="296" ht="12.75" customHeight="1">
      <c r="G296" s="17"/>
      <c r="I296" s="18"/>
      <c r="N296" s="16"/>
      <c r="O296" s="16"/>
      <c r="P296" s="16"/>
      <c r="Q296" s="16"/>
      <c r="R296" s="16"/>
      <c r="S296" s="16"/>
    </row>
    <row r="297" ht="12.75" customHeight="1">
      <c r="G297" s="17"/>
      <c r="I297" s="18"/>
      <c r="N297" s="16"/>
      <c r="O297" s="16"/>
      <c r="P297" s="16"/>
      <c r="Q297" s="16"/>
      <c r="R297" s="16"/>
      <c r="S297" s="16"/>
    </row>
    <row r="298" ht="12.75" customHeight="1">
      <c r="G298" s="17"/>
      <c r="I298" s="18"/>
      <c r="N298" s="16"/>
      <c r="O298" s="16"/>
      <c r="P298" s="16"/>
      <c r="Q298" s="16"/>
      <c r="R298" s="16"/>
      <c r="S298" s="16"/>
    </row>
    <row r="299" ht="12.75" customHeight="1">
      <c r="G299" s="17"/>
      <c r="I299" s="18"/>
      <c r="N299" s="16"/>
      <c r="O299" s="16"/>
      <c r="P299" s="16"/>
      <c r="Q299" s="16"/>
      <c r="R299" s="16"/>
      <c r="S299" s="16"/>
    </row>
    <row r="300" ht="12.75" customHeight="1">
      <c r="G300" s="17"/>
      <c r="I300" s="18"/>
      <c r="N300" s="16"/>
      <c r="O300" s="16"/>
      <c r="P300" s="16"/>
      <c r="Q300" s="16"/>
      <c r="R300" s="16"/>
      <c r="S300" s="16"/>
    </row>
    <row r="301" ht="12.75" customHeight="1">
      <c r="G301" s="17"/>
      <c r="I301" s="18"/>
      <c r="N301" s="16"/>
      <c r="O301" s="16"/>
      <c r="P301" s="16"/>
      <c r="Q301" s="16"/>
      <c r="R301" s="16"/>
      <c r="S301" s="16"/>
    </row>
    <row r="302" ht="12.75" customHeight="1">
      <c r="G302" s="17"/>
      <c r="I302" s="18"/>
      <c r="N302" s="16"/>
      <c r="O302" s="16"/>
      <c r="P302" s="16"/>
      <c r="Q302" s="16"/>
      <c r="R302" s="16"/>
      <c r="S302" s="16"/>
    </row>
    <row r="303" ht="12.75" customHeight="1">
      <c r="G303" s="17"/>
      <c r="I303" s="18"/>
      <c r="N303" s="16"/>
      <c r="O303" s="16"/>
      <c r="P303" s="16"/>
      <c r="Q303" s="16"/>
      <c r="R303" s="16"/>
      <c r="S303" s="16"/>
    </row>
    <row r="304" ht="12.75" customHeight="1">
      <c r="G304" s="17"/>
      <c r="I304" s="18"/>
      <c r="N304" s="16"/>
      <c r="O304" s="16"/>
      <c r="P304" s="16"/>
      <c r="Q304" s="16"/>
      <c r="R304" s="16"/>
      <c r="S304" s="16"/>
    </row>
    <row r="305" ht="12.75" customHeight="1">
      <c r="G305" s="17"/>
      <c r="I305" s="18"/>
      <c r="N305" s="16"/>
      <c r="O305" s="16"/>
      <c r="P305" s="16"/>
      <c r="Q305" s="16"/>
      <c r="R305" s="16"/>
      <c r="S305" s="16"/>
    </row>
    <row r="306" ht="12.75" customHeight="1">
      <c r="G306" s="17"/>
      <c r="I306" s="18"/>
      <c r="N306" s="16"/>
      <c r="O306" s="16"/>
      <c r="P306" s="16"/>
      <c r="Q306" s="16"/>
      <c r="R306" s="16"/>
      <c r="S306" s="16"/>
    </row>
    <row r="307" ht="12.75" customHeight="1">
      <c r="G307" s="17"/>
      <c r="I307" s="18"/>
      <c r="N307" s="16"/>
      <c r="O307" s="16"/>
      <c r="P307" s="16"/>
      <c r="Q307" s="16"/>
      <c r="R307" s="16"/>
      <c r="S307" s="16"/>
    </row>
    <row r="308" ht="12.75" customHeight="1">
      <c r="G308" s="17"/>
      <c r="I308" s="18"/>
      <c r="N308" s="16"/>
      <c r="O308" s="16"/>
      <c r="P308" s="16"/>
      <c r="Q308" s="16"/>
      <c r="R308" s="16"/>
      <c r="S308" s="16"/>
    </row>
    <row r="309" ht="12.75" customHeight="1">
      <c r="G309" s="17"/>
      <c r="I309" s="18"/>
      <c r="N309" s="16"/>
      <c r="O309" s="16"/>
      <c r="P309" s="16"/>
      <c r="Q309" s="16"/>
      <c r="R309" s="16"/>
      <c r="S309" s="16"/>
    </row>
    <row r="310" ht="12.75" customHeight="1">
      <c r="G310" s="17"/>
      <c r="I310" s="18"/>
      <c r="N310" s="16"/>
      <c r="O310" s="16"/>
      <c r="P310" s="16"/>
      <c r="Q310" s="16"/>
      <c r="R310" s="16"/>
      <c r="S310" s="16"/>
    </row>
    <row r="311" ht="12.75" customHeight="1">
      <c r="G311" s="17"/>
      <c r="I311" s="18"/>
      <c r="N311" s="16"/>
      <c r="O311" s="16"/>
      <c r="P311" s="16"/>
      <c r="Q311" s="16"/>
      <c r="R311" s="16"/>
      <c r="S311" s="16"/>
    </row>
    <row r="312" ht="12.75" customHeight="1">
      <c r="G312" s="17"/>
      <c r="I312" s="18"/>
      <c r="N312" s="16"/>
      <c r="O312" s="16"/>
      <c r="P312" s="16"/>
      <c r="Q312" s="16"/>
      <c r="R312" s="16"/>
      <c r="S312" s="16"/>
    </row>
    <row r="313" ht="12.75" customHeight="1">
      <c r="G313" s="17"/>
      <c r="I313" s="18"/>
      <c r="N313" s="16"/>
      <c r="O313" s="16"/>
      <c r="P313" s="16"/>
      <c r="Q313" s="16"/>
      <c r="R313" s="16"/>
      <c r="S313" s="16"/>
    </row>
    <row r="314" ht="12.75" customHeight="1">
      <c r="G314" s="17"/>
      <c r="I314" s="18"/>
      <c r="N314" s="16"/>
      <c r="O314" s="16"/>
      <c r="P314" s="16"/>
      <c r="Q314" s="16"/>
      <c r="R314" s="16"/>
      <c r="S314" s="16"/>
    </row>
    <row r="315" ht="12.75" customHeight="1">
      <c r="G315" s="17"/>
      <c r="I315" s="18"/>
      <c r="N315" s="16"/>
      <c r="O315" s="16"/>
      <c r="P315" s="16"/>
      <c r="Q315" s="16"/>
      <c r="R315" s="16"/>
      <c r="S315" s="16"/>
    </row>
    <row r="316" ht="12.75" customHeight="1">
      <c r="G316" s="17"/>
      <c r="I316" s="18"/>
      <c r="N316" s="16"/>
      <c r="O316" s="16"/>
      <c r="P316" s="16"/>
      <c r="Q316" s="16"/>
      <c r="R316" s="16"/>
      <c r="S316" s="16"/>
    </row>
    <row r="317" ht="12.75" customHeight="1">
      <c r="G317" s="17"/>
      <c r="I317" s="18"/>
      <c r="N317" s="16"/>
      <c r="O317" s="16"/>
      <c r="P317" s="16"/>
      <c r="Q317" s="16"/>
      <c r="R317" s="16"/>
      <c r="S317" s="16"/>
    </row>
    <row r="318" ht="12.75" customHeight="1">
      <c r="G318" s="17"/>
      <c r="I318" s="18"/>
      <c r="N318" s="16"/>
      <c r="O318" s="16"/>
      <c r="P318" s="16"/>
      <c r="Q318" s="16"/>
      <c r="R318" s="16"/>
      <c r="S318" s="16"/>
    </row>
    <row r="319" ht="12.75" customHeight="1">
      <c r="G319" s="17"/>
      <c r="I319" s="18"/>
      <c r="N319" s="16"/>
      <c r="O319" s="16"/>
      <c r="P319" s="16"/>
      <c r="Q319" s="16"/>
      <c r="R319" s="16"/>
      <c r="S319" s="16"/>
    </row>
    <row r="320" ht="12.75" customHeight="1">
      <c r="G320" s="17"/>
      <c r="I320" s="18"/>
      <c r="N320" s="16"/>
      <c r="O320" s="16"/>
      <c r="P320" s="16"/>
      <c r="Q320" s="16"/>
      <c r="R320" s="16"/>
      <c r="S320" s="16"/>
    </row>
    <row r="321" ht="12.75" customHeight="1">
      <c r="G321" s="17"/>
      <c r="I321" s="18"/>
      <c r="N321" s="16"/>
      <c r="O321" s="16"/>
      <c r="P321" s="16"/>
      <c r="Q321" s="16"/>
      <c r="R321" s="16"/>
      <c r="S321" s="16"/>
    </row>
    <row r="322" ht="12.75" customHeight="1">
      <c r="G322" s="17"/>
      <c r="I322" s="18"/>
      <c r="N322" s="16"/>
      <c r="O322" s="16"/>
      <c r="P322" s="16"/>
      <c r="Q322" s="16"/>
      <c r="R322" s="16"/>
      <c r="S322" s="16"/>
    </row>
    <row r="323" ht="12.75" customHeight="1">
      <c r="G323" s="17"/>
      <c r="I323" s="18"/>
      <c r="N323" s="16"/>
      <c r="O323" s="16"/>
      <c r="P323" s="16"/>
      <c r="Q323" s="16"/>
      <c r="R323" s="16"/>
      <c r="S323" s="16"/>
    </row>
    <row r="324" ht="12.75" customHeight="1">
      <c r="G324" s="17"/>
      <c r="I324" s="18"/>
      <c r="N324" s="16"/>
      <c r="O324" s="16"/>
      <c r="P324" s="16"/>
      <c r="Q324" s="16"/>
      <c r="R324" s="16"/>
      <c r="S324" s="16"/>
    </row>
    <row r="325" ht="12.75" customHeight="1">
      <c r="G325" s="17"/>
      <c r="I325" s="18"/>
      <c r="N325" s="16"/>
      <c r="O325" s="16"/>
      <c r="P325" s="16"/>
      <c r="Q325" s="16"/>
      <c r="R325" s="16"/>
      <c r="S325" s="16"/>
    </row>
    <row r="326" ht="12.75" customHeight="1">
      <c r="G326" s="17"/>
      <c r="I326" s="18"/>
      <c r="N326" s="16"/>
      <c r="O326" s="16"/>
      <c r="P326" s="16"/>
      <c r="Q326" s="16"/>
      <c r="R326" s="16"/>
      <c r="S326" s="16"/>
    </row>
    <row r="327" ht="12.75" customHeight="1">
      <c r="G327" s="17"/>
      <c r="I327" s="18"/>
      <c r="N327" s="16"/>
      <c r="O327" s="16"/>
      <c r="P327" s="16"/>
      <c r="Q327" s="16"/>
      <c r="R327" s="16"/>
      <c r="S327" s="16"/>
    </row>
    <row r="328" ht="12.75" customHeight="1">
      <c r="G328" s="17"/>
      <c r="I328" s="18"/>
      <c r="N328" s="16"/>
      <c r="O328" s="16"/>
      <c r="P328" s="16"/>
      <c r="Q328" s="16"/>
      <c r="R328" s="16"/>
      <c r="S328" s="16"/>
    </row>
    <row r="329" ht="12.75" customHeight="1">
      <c r="G329" s="17"/>
      <c r="I329" s="18"/>
      <c r="N329" s="16"/>
      <c r="O329" s="16"/>
      <c r="P329" s="16"/>
      <c r="Q329" s="16"/>
      <c r="R329" s="16"/>
      <c r="S329" s="16"/>
    </row>
    <row r="330" ht="12.75" customHeight="1">
      <c r="G330" s="17"/>
      <c r="I330" s="18"/>
      <c r="N330" s="16"/>
      <c r="O330" s="16"/>
      <c r="P330" s="16"/>
      <c r="Q330" s="16"/>
      <c r="R330" s="16"/>
      <c r="S330" s="16"/>
    </row>
    <row r="331" ht="12.75" customHeight="1">
      <c r="G331" s="17"/>
      <c r="I331" s="18"/>
      <c r="N331" s="16"/>
      <c r="O331" s="16"/>
      <c r="P331" s="16"/>
      <c r="Q331" s="16"/>
      <c r="R331" s="16"/>
      <c r="S331" s="16"/>
    </row>
    <row r="332" ht="12.75" customHeight="1">
      <c r="G332" s="17"/>
      <c r="I332" s="18"/>
      <c r="N332" s="16"/>
      <c r="O332" s="16"/>
      <c r="P332" s="16"/>
      <c r="Q332" s="16"/>
      <c r="R332" s="16"/>
      <c r="S332" s="16"/>
    </row>
    <row r="333" ht="12.75" customHeight="1">
      <c r="G333" s="17"/>
      <c r="I333" s="18"/>
      <c r="N333" s="16"/>
      <c r="O333" s="16"/>
      <c r="P333" s="16"/>
      <c r="Q333" s="16"/>
      <c r="R333" s="16"/>
      <c r="S333" s="16"/>
    </row>
    <row r="334" ht="12.75" customHeight="1">
      <c r="G334" s="17"/>
      <c r="I334" s="18"/>
      <c r="N334" s="16"/>
      <c r="O334" s="16"/>
      <c r="P334" s="16"/>
      <c r="Q334" s="16"/>
      <c r="R334" s="16"/>
      <c r="S334" s="16"/>
    </row>
    <row r="335" ht="12.75" customHeight="1">
      <c r="G335" s="17"/>
      <c r="I335" s="18"/>
      <c r="N335" s="16"/>
      <c r="O335" s="16"/>
      <c r="P335" s="16"/>
      <c r="Q335" s="16"/>
      <c r="R335" s="16"/>
      <c r="S335" s="16"/>
    </row>
    <row r="336" ht="12.75" customHeight="1">
      <c r="G336" s="17"/>
      <c r="I336" s="18"/>
      <c r="N336" s="16"/>
      <c r="O336" s="16"/>
      <c r="P336" s="16"/>
      <c r="Q336" s="16"/>
      <c r="R336" s="16"/>
      <c r="S336" s="16"/>
    </row>
    <row r="337" ht="12.75" customHeight="1">
      <c r="G337" s="17"/>
      <c r="I337" s="18"/>
      <c r="N337" s="16"/>
      <c r="O337" s="16"/>
      <c r="P337" s="16"/>
      <c r="Q337" s="16"/>
      <c r="R337" s="16"/>
      <c r="S337" s="16"/>
    </row>
    <row r="338" ht="12.75" customHeight="1">
      <c r="G338" s="17"/>
      <c r="I338" s="18"/>
      <c r="N338" s="16"/>
      <c r="O338" s="16"/>
      <c r="P338" s="16"/>
      <c r="Q338" s="16"/>
      <c r="R338" s="16"/>
      <c r="S338" s="16"/>
    </row>
    <row r="339" ht="12.75" customHeight="1">
      <c r="G339" s="17"/>
      <c r="I339" s="18"/>
      <c r="N339" s="16"/>
      <c r="O339" s="16"/>
      <c r="P339" s="16"/>
      <c r="Q339" s="16"/>
      <c r="R339" s="16"/>
      <c r="S339" s="16"/>
    </row>
    <row r="340" ht="12.75" customHeight="1">
      <c r="G340" s="17"/>
      <c r="I340" s="18"/>
      <c r="N340" s="16"/>
      <c r="O340" s="16"/>
      <c r="P340" s="16"/>
      <c r="Q340" s="16"/>
      <c r="R340" s="16"/>
      <c r="S340" s="16"/>
    </row>
    <row r="341" ht="12.75" customHeight="1">
      <c r="G341" s="17"/>
      <c r="I341" s="18"/>
      <c r="N341" s="16"/>
      <c r="O341" s="16"/>
      <c r="P341" s="16"/>
      <c r="Q341" s="16"/>
      <c r="R341" s="16"/>
      <c r="S341" s="16"/>
    </row>
    <row r="342" ht="12.75" customHeight="1">
      <c r="G342" s="17"/>
      <c r="I342" s="18"/>
      <c r="N342" s="16"/>
      <c r="O342" s="16"/>
      <c r="P342" s="16"/>
      <c r="Q342" s="16"/>
      <c r="R342" s="16"/>
      <c r="S342" s="16"/>
    </row>
    <row r="343" ht="12.75" customHeight="1">
      <c r="G343" s="17"/>
      <c r="I343" s="18"/>
      <c r="N343" s="16"/>
      <c r="O343" s="16"/>
      <c r="P343" s="16"/>
      <c r="Q343" s="16"/>
      <c r="R343" s="16"/>
      <c r="S343" s="16"/>
    </row>
    <row r="344" ht="12.75" customHeight="1">
      <c r="G344" s="17"/>
      <c r="I344" s="18"/>
      <c r="N344" s="16"/>
      <c r="O344" s="16"/>
      <c r="P344" s="16"/>
      <c r="Q344" s="16"/>
      <c r="R344" s="16"/>
      <c r="S344" s="16"/>
    </row>
    <row r="345" ht="12.75" customHeight="1">
      <c r="G345" s="17"/>
      <c r="I345" s="18"/>
      <c r="N345" s="16"/>
      <c r="O345" s="16"/>
      <c r="P345" s="16"/>
      <c r="Q345" s="16"/>
      <c r="R345" s="16"/>
      <c r="S345" s="16"/>
    </row>
    <row r="346" ht="12.75" customHeight="1">
      <c r="G346" s="17"/>
      <c r="I346" s="18"/>
      <c r="N346" s="16"/>
      <c r="O346" s="16"/>
      <c r="P346" s="16"/>
      <c r="Q346" s="16"/>
      <c r="R346" s="16"/>
      <c r="S346" s="16"/>
    </row>
    <row r="347" ht="12.75" customHeight="1">
      <c r="G347" s="17"/>
      <c r="I347" s="18"/>
      <c r="N347" s="16"/>
      <c r="O347" s="16"/>
      <c r="P347" s="16"/>
      <c r="Q347" s="16"/>
      <c r="R347" s="16"/>
      <c r="S347" s="16"/>
    </row>
    <row r="348" ht="12.75" customHeight="1">
      <c r="G348" s="17"/>
      <c r="I348" s="18"/>
      <c r="N348" s="16"/>
      <c r="O348" s="16"/>
      <c r="P348" s="16"/>
      <c r="Q348" s="16"/>
      <c r="R348" s="16"/>
      <c r="S348" s="16"/>
    </row>
    <row r="349" ht="12.75" customHeight="1">
      <c r="G349" s="17"/>
      <c r="I349" s="18"/>
      <c r="N349" s="16"/>
      <c r="O349" s="16"/>
      <c r="P349" s="16"/>
      <c r="Q349" s="16"/>
      <c r="R349" s="16"/>
      <c r="S349" s="16"/>
    </row>
    <row r="350" ht="12.75" customHeight="1">
      <c r="G350" s="17"/>
      <c r="I350" s="18"/>
      <c r="N350" s="16"/>
      <c r="O350" s="16"/>
      <c r="P350" s="16"/>
      <c r="Q350" s="16"/>
      <c r="R350" s="16"/>
      <c r="S350" s="16"/>
    </row>
    <row r="351" ht="12.75" customHeight="1">
      <c r="G351" s="17"/>
      <c r="I351" s="18"/>
      <c r="N351" s="16"/>
      <c r="O351" s="16"/>
      <c r="P351" s="16"/>
      <c r="Q351" s="16"/>
      <c r="R351" s="16"/>
      <c r="S351" s="16"/>
    </row>
    <row r="352" ht="12.75" customHeight="1">
      <c r="G352" s="17"/>
      <c r="I352" s="18"/>
      <c r="N352" s="16"/>
      <c r="O352" s="16"/>
      <c r="P352" s="16"/>
      <c r="Q352" s="16"/>
      <c r="R352" s="16"/>
      <c r="S352" s="16"/>
    </row>
    <row r="353" ht="12.75" customHeight="1">
      <c r="G353" s="17"/>
      <c r="I353" s="18"/>
      <c r="N353" s="16"/>
      <c r="O353" s="16"/>
      <c r="P353" s="16"/>
      <c r="Q353" s="16"/>
      <c r="R353" s="16"/>
      <c r="S353" s="16"/>
    </row>
    <row r="354" ht="12.75" customHeight="1">
      <c r="G354" s="17"/>
      <c r="I354" s="18"/>
      <c r="N354" s="16"/>
      <c r="O354" s="16"/>
      <c r="P354" s="16"/>
      <c r="Q354" s="16"/>
      <c r="R354" s="16"/>
      <c r="S354" s="16"/>
    </row>
    <row r="355" ht="12.75" customHeight="1">
      <c r="G355" s="17"/>
      <c r="I355" s="18"/>
      <c r="N355" s="16"/>
      <c r="O355" s="16"/>
      <c r="P355" s="16"/>
      <c r="Q355" s="16"/>
      <c r="R355" s="16"/>
      <c r="S355" s="16"/>
    </row>
    <row r="356" ht="12.75" customHeight="1">
      <c r="G356" s="17"/>
      <c r="I356" s="18"/>
      <c r="N356" s="16"/>
      <c r="O356" s="16"/>
      <c r="P356" s="16"/>
      <c r="Q356" s="16"/>
      <c r="R356" s="16"/>
      <c r="S356" s="16"/>
    </row>
    <row r="357" ht="12.75" customHeight="1">
      <c r="G357" s="17"/>
      <c r="I357" s="18"/>
      <c r="N357" s="16"/>
      <c r="O357" s="16"/>
      <c r="P357" s="16"/>
      <c r="Q357" s="16"/>
      <c r="R357" s="16"/>
      <c r="S357" s="16"/>
    </row>
    <row r="358" ht="12.75" customHeight="1">
      <c r="G358" s="17"/>
      <c r="I358" s="18"/>
      <c r="N358" s="16"/>
      <c r="O358" s="16"/>
      <c r="P358" s="16"/>
      <c r="Q358" s="16"/>
      <c r="R358" s="16"/>
      <c r="S358" s="16"/>
    </row>
    <row r="359" ht="12.75" customHeight="1">
      <c r="G359" s="17"/>
      <c r="I359" s="18"/>
      <c r="N359" s="16"/>
      <c r="O359" s="16"/>
      <c r="P359" s="16"/>
      <c r="Q359" s="16"/>
      <c r="R359" s="16"/>
      <c r="S359" s="16"/>
    </row>
    <row r="360" ht="12.75" customHeight="1">
      <c r="G360" s="17"/>
      <c r="I360" s="18"/>
      <c r="N360" s="16"/>
      <c r="O360" s="16"/>
      <c r="P360" s="16"/>
      <c r="Q360" s="16"/>
      <c r="R360" s="16"/>
      <c r="S360" s="16"/>
    </row>
    <row r="361" ht="12.75" customHeight="1">
      <c r="G361" s="17"/>
      <c r="I361" s="18"/>
      <c r="N361" s="16"/>
      <c r="O361" s="16"/>
      <c r="P361" s="16"/>
      <c r="Q361" s="16"/>
      <c r="R361" s="16"/>
      <c r="S361" s="16"/>
    </row>
    <row r="362" ht="12.75" customHeight="1">
      <c r="G362" s="17"/>
      <c r="I362" s="18"/>
      <c r="N362" s="16"/>
      <c r="O362" s="16"/>
      <c r="P362" s="16"/>
      <c r="Q362" s="16"/>
      <c r="R362" s="16"/>
      <c r="S362" s="16"/>
    </row>
    <row r="363" ht="12.75" customHeight="1">
      <c r="G363" s="17"/>
      <c r="I363" s="18"/>
      <c r="N363" s="16"/>
      <c r="O363" s="16"/>
      <c r="P363" s="16"/>
      <c r="Q363" s="16"/>
      <c r="R363" s="16"/>
      <c r="S363" s="16"/>
    </row>
    <row r="364" ht="12.75" customHeight="1">
      <c r="G364" s="17"/>
      <c r="I364" s="18"/>
      <c r="N364" s="16"/>
      <c r="O364" s="16"/>
      <c r="P364" s="16"/>
      <c r="Q364" s="16"/>
      <c r="R364" s="16"/>
      <c r="S364" s="16"/>
    </row>
    <row r="365" ht="12.75" customHeight="1">
      <c r="G365" s="17"/>
      <c r="I365" s="18"/>
      <c r="N365" s="16"/>
      <c r="O365" s="16"/>
      <c r="P365" s="16"/>
      <c r="Q365" s="16"/>
      <c r="R365" s="16"/>
      <c r="S365" s="16"/>
    </row>
    <row r="366" ht="12.75" customHeight="1">
      <c r="G366" s="17"/>
      <c r="I366" s="18"/>
      <c r="N366" s="16"/>
      <c r="O366" s="16"/>
      <c r="P366" s="16"/>
      <c r="Q366" s="16"/>
      <c r="R366" s="16"/>
      <c r="S366" s="16"/>
    </row>
    <row r="367" ht="12.75" customHeight="1">
      <c r="G367" s="17"/>
      <c r="I367" s="18"/>
      <c r="N367" s="16"/>
      <c r="O367" s="16"/>
      <c r="P367" s="16"/>
      <c r="Q367" s="16"/>
      <c r="R367" s="16"/>
      <c r="S367" s="16"/>
    </row>
    <row r="368" ht="12.75" customHeight="1">
      <c r="G368" s="17"/>
      <c r="I368" s="18"/>
      <c r="N368" s="16"/>
      <c r="O368" s="16"/>
      <c r="P368" s="16"/>
      <c r="Q368" s="16"/>
      <c r="R368" s="16"/>
      <c r="S368" s="16"/>
    </row>
    <row r="369" ht="12.75" customHeight="1">
      <c r="G369" s="17"/>
      <c r="I369" s="18"/>
      <c r="N369" s="16"/>
      <c r="O369" s="16"/>
      <c r="P369" s="16"/>
      <c r="Q369" s="16"/>
      <c r="R369" s="16"/>
      <c r="S369" s="16"/>
    </row>
    <row r="370" ht="12.75" customHeight="1">
      <c r="G370" s="17"/>
      <c r="I370" s="18"/>
      <c r="N370" s="16"/>
      <c r="O370" s="16"/>
      <c r="P370" s="16"/>
      <c r="Q370" s="16"/>
      <c r="R370" s="16"/>
      <c r="S370" s="16"/>
    </row>
    <row r="371" ht="12.75" customHeight="1">
      <c r="G371" s="17"/>
      <c r="I371" s="18"/>
      <c r="N371" s="16"/>
      <c r="O371" s="16"/>
      <c r="P371" s="16"/>
      <c r="Q371" s="16"/>
      <c r="R371" s="16"/>
      <c r="S371" s="16"/>
    </row>
    <row r="372" ht="12.75" customHeight="1">
      <c r="G372" s="17"/>
      <c r="I372" s="18"/>
      <c r="N372" s="16"/>
      <c r="O372" s="16"/>
      <c r="P372" s="16"/>
      <c r="Q372" s="16"/>
      <c r="R372" s="16"/>
      <c r="S372" s="16"/>
    </row>
    <row r="373" ht="12.75" customHeight="1">
      <c r="G373" s="17"/>
      <c r="I373" s="18"/>
      <c r="N373" s="16"/>
      <c r="O373" s="16"/>
      <c r="P373" s="16"/>
      <c r="Q373" s="16"/>
      <c r="R373" s="16"/>
      <c r="S373" s="16"/>
    </row>
    <row r="374" ht="12.75" customHeight="1">
      <c r="G374" s="17"/>
      <c r="I374" s="18"/>
      <c r="N374" s="16"/>
      <c r="O374" s="16"/>
      <c r="P374" s="16"/>
      <c r="Q374" s="16"/>
      <c r="R374" s="16"/>
      <c r="S374" s="16"/>
    </row>
    <row r="375" ht="12.75" customHeight="1">
      <c r="G375" s="17"/>
      <c r="I375" s="18"/>
      <c r="N375" s="16"/>
      <c r="O375" s="16"/>
      <c r="P375" s="16"/>
      <c r="Q375" s="16"/>
      <c r="R375" s="16"/>
      <c r="S375" s="16"/>
    </row>
    <row r="376" ht="12.75" customHeight="1">
      <c r="G376" s="17"/>
      <c r="I376" s="18"/>
      <c r="N376" s="16"/>
      <c r="O376" s="16"/>
      <c r="P376" s="16"/>
      <c r="Q376" s="16"/>
      <c r="R376" s="16"/>
      <c r="S376" s="16"/>
    </row>
    <row r="377" ht="12.75" customHeight="1">
      <c r="G377" s="17"/>
      <c r="I377" s="18"/>
      <c r="N377" s="16"/>
      <c r="O377" s="16"/>
      <c r="P377" s="16"/>
      <c r="Q377" s="16"/>
      <c r="R377" s="16"/>
      <c r="S377" s="16"/>
    </row>
    <row r="378" ht="12.75" customHeight="1">
      <c r="G378" s="17"/>
      <c r="I378" s="18"/>
      <c r="N378" s="16"/>
      <c r="O378" s="16"/>
      <c r="P378" s="16"/>
      <c r="Q378" s="16"/>
      <c r="R378" s="16"/>
      <c r="S378" s="16"/>
    </row>
    <row r="379" ht="12.75" customHeight="1">
      <c r="G379" s="17"/>
      <c r="I379" s="18"/>
      <c r="N379" s="16"/>
      <c r="O379" s="16"/>
      <c r="P379" s="16"/>
      <c r="Q379" s="16"/>
      <c r="R379" s="16"/>
      <c r="S379" s="16"/>
    </row>
    <row r="380" ht="12.75" customHeight="1">
      <c r="G380" s="17"/>
      <c r="I380" s="18"/>
      <c r="N380" s="16"/>
      <c r="O380" s="16"/>
      <c r="P380" s="16"/>
      <c r="Q380" s="16"/>
      <c r="R380" s="16"/>
      <c r="S380" s="16"/>
    </row>
    <row r="381" ht="12.75" customHeight="1">
      <c r="G381" s="17"/>
      <c r="I381" s="18"/>
      <c r="N381" s="16"/>
      <c r="O381" s="16"/>
      <c r="P381" s="16"/>
      <c r="Q381" s="16"/>
      <c r="R381" s="16"/>
      <c r="S381" s="16"/>
    </row>
    <row r="382" ht="12.75" customHeight="1">
      <c r="G382" s="17"/>
      <c r="I382" s="18"/>
      <c r="N382" s="16"/>
      <c r="O382" s="16"/>
      <c r="P382" s="16"/>
      <c r="Q382" s="16"/>
      <c r="R382" s="16"/>
      <c r="S382" s="16"/>
    </row>
    <row r="383" ht="12.75" customHeight="1">
      <c r="G383" s="17"/>
      <c r="I383" s="18"/>
      <c r="N383" s="16"/>
      <c r="O383" s="16"/>
      <c r="P383" s="16"/>
      <c r="Q383" s="16"/>
      <c r="R383" s="16"/>
      <c r="S383" s="16"/>
    </row>
    <row r="384" ht="12.75" customHeight="1">
      <c r="G384" s="17"/>
      <c r="I384" s="18"/>
      <c r="N384" s="16"/>
      <c r="O384" s="16"/>
      <c r="P384" s="16"/>
      <c r="Q384" s="16"/>
      <c r="R384" s="16"/>
      <c r="S384" s="16"/>
    </row>
    <row r="385" ht="12.75" customHeight="1">
      <c r="G385" s="17"/>
      <c r="I385" s="18"/>
      <c r="N385" s="16"/>
      <c r="O385" s="16"/>
      <c r="P385" s="16"/>
      <c r="Q385" s="16"/>
      <c r="R385" s="16"/>
      <c r="S385" s="16"/>
    </row>
    <row r="386" ht="12.75" customHeight="1">
      <c r="G386" s="17"/>
      <c r="I386" s="18"/>
      <c r="N386" s="16"/>
      <c r="O386" s="16"/>
      <c r="P386" s="16"/>
      <c r="Q386" s="16"/>
      <c r="R386" s="16"/>
      <c r="S386" s="16"/>
    </row>
    <row r="387" ht="12.75" customHeight="1">
      <c r="G387" s="17"/>
      <c r="I387" s="18"/>
      <c r="N387" s="16"/>
      <c r="O387" s="16"/>
      <c r="P387" s="16"/>
      <c r="Q387" s="16"/>
      <c r="R387" s="16"/>
      <c r="S387" s="16"/>
    </row>
    <row r="388" ht="12.75" customHeight="1">
      <c r="G388" s="17"/>
      <c r="I388" s="18"/>
      <c r="N388" s="16"/>
      <c r="O388" s="16"/>
      <c r="P388" s="16"/>
      <c r="Q388" s="16"/>
      <c r="R388" s="16"/>
      <c r="S388" s="16"/>
    </row>
    <row r="389" ht="12.75" customHeight="1">
      <c r="G389" s="17"/>
      <c r="I389" s="18"/>
      <c r="N389" s="16"/>
      <c r="O389" s="16"/>
      <c r="P389" s="16"/>
      <c r="Q389" s="16"/>
      <c r="R389" s="16"/>
      <c r="S389" s="16"/>
    </row>
    <row r="390" ht="12.75" customHeight="1">
      <c r="G390" s="17"/>
      <c r="I390" s="18"/>
      <c r="N390" s="16"/>
      <c r="O390" s="16"/>
      <c r="P390" s="16"/>
      <c r="Q390" s="16"/>
      <c r="R390" s="16"/>
      <c r="S390" s="16"/>
    </row>
    <row r="391" ht="12.75" customHeight="1">
      <c r="G391" s="17"/>
      <c r="I391" s="18"/>
      <c r="N391" s="16"/>
      <c r="O391" s="16"/>
      <c r="P391" s="16"/>
      <c r="Q391" s="16"/>
      <c r="R391" s="16"/>
      <c r="S391" s="16"/>
    </row>
    <row r="392" ht="12.75" customHeight="1">
      <c r="G392" s="17"/>
      <c r="I392" s="18"/>
      <c r="N392" s="16"/>
      <c r="O392" s="16"/>
      <c r="P392" s="16"/>
      <c r="Q392" s="16"/>
      <c r="R392" s="16"/>
      <c r="S392" s="16"/>
    </row>
    <row r="393" ht="12.75" customHeight="1">
      <c r="G393" s="17"/>
      <c r="I393" s="18"/>
      <c r="N393" s="16"/>
      <c r="O393" s="16"/>
      <c r="P393" s="16"/>
      <c r="Q393" s="16"/>
      <c r="R393" s="16"/>
      <c r="S393" s="16"/>
    </row>
    <row r="394" ht="12.75" customHeight="1">
      <c r="G394" s="17"/>
      <c r="I394" s="18"/>
      <c r="N394" s="16"/>
      <c r="O394" s="16"/>
      <c r="P394" s="16"/>
      <c r="Q394" s="16"/>
      <c r="R394" s="16"/>
      <c r="S394" s="16"/>
    </row>
    <row r="395" ht="12.75" customHeight="1">
      <c r="G395" s="17"/>
      <c r="I395" s="18"/>
      <c r="N395" s="16"/>
      <c r="O395" s="16"/>
      <c r="P395" s="16"/>
      <c r="Q395" s="16"/>
      <c r="R395" s="16"/>
      <c r="S395" s="16"/>
    </row>
    <row r="396" ht="12.75" customHeight="1">
      <c r="G396" s="17"/>
      <c r="I396" s="18"/>
      <c r="N396" s="16"/>
      <c r="O396" s="16"/>
      <c r="P396" s="16"/>
      <c r="Q396" s="16"/>
      <c r="R396" s="16"/>
      <c r="S396" s="16"/>
    </row>
    <row r="397" ht="12.75" customHeight="1">
      <c r="G397" s="17"/>
      <c r="I397" s="18"/>
      <c r="N397" s="16"/>
      <c r="O397" s="16"/>
      <c r="P397" s="16"/>
      <c r="Q397" s="16"/>
      <c r="R397" s="16"/>
      <c r="S397" s="16"/>
    </row>
    <row r="398" ht="12.75" customHeight="1">
      <c r="G398" s="17"/>
      <c r="I398" s="18"/>
      <c r="N398" s="16"/>
      <c r="O398" s="16"/>
      <c r="P398" s="16"/>
      <c r="Q398" s="16"/>
      <c r="R398" s="16"/>
      <c r="S398" s="16"/>
    </row>
    <row r="399" ht="12.75" customHeight="1">
      <c r="G399" s="17"/>
      <c r="I399" s="18"/>
      <c r="N399" s="16"/>
      <c r="O399" s="16"/>
      <c r="P399" s="16"/>
      <c r="Q399" s="16"/>
      <c r="R399" s="16"/>
      <c r="S399" s="16"/>
    </row>
    <row r="400" ht="12.75" customHeight="1">
      <c r="G400" s="17"/>
      <c r="I400" s="18"/>
      <c r="N400" s="16"/>
      <c r="O400" s="16"/>
      <c r="P400" s="16"/>
      <c r="Q400" s="16"/>
      <c r="R400" s="16"/>
      <c r="S400" s="16"/>
    </row>
    <row r="401" ht="12.75" customHeight="1">
      <c r="G401" s="17"/>
      <c r="I401" s="18"/>
      <c r="N401" s="16"/>
      <c r="O401" s="16"/>
      <c r="P401" s="16"/>
      <c r="Q401" s="16"/>
      <c r="R401" s="16"/>
      <c r="S401" s="16"/>
    </row>
    <row r="402" ht="12.75" customHeight="1">
      <c r="G402" s="17"/>
      <c r="I402" s="18"/>
      <c r="N402" s="16"/>
      <c r="O402" s="16"/>
      <c r="P402" s="16"/>
      <c r="Q402" s="16"/>
      <c r="R402" s="16"/>
      <c r="S402" s="16"/>
    </row>
    <row r="403" ht="12.75" customHeight="1">
      <c r="G403" s="17"/>
      <c r="I403" s="18"/>
      <c r="N403" s="16"/>
      <c r="O403" s="16"/>
      <c r="P403" s="16"/>
      <c r="Q403" s="16"/>
      <c r="R403" s="16"/>
      <c r="S403" s="16"/>
    </row>
    <row r="404" ht="12.75" customHeight="1">
      <c r="G404" s="17"/>
      <c r="I404" s="18"/>
      <c r="N404" s="16"/>
      <c r="O404" s="16"/>
      <c r="P404" s="16"/>
      <c r="Q404" s="16"/>
      <c r="R404" s="16"/>
      <c r="S404" s="16"/>
    </row>
    <row r="405" ht="12.75" customHeight="1">
      <c r="G405" s="17"/>
      <c r="I405" s="18"/>
      <c r="N405" s="16"/>
      <c r="O405" s="16"/>
      <c r="P405" s="16"/>
      <c r="Q405" s="16"/>
      <c r="R405" s="16"/>
      <c r="S405" s="16"/>
    </row>
    <row r="406" ht="12.75" customHeight="1">
      <c r="G406" s="17"/>
      <c r="I406" s="18"/>
      <c r="N406" s="16"/>
      <c r="O406" s="16"/>
      <c r="P406" s="16"/>
      <c r="Q406" s="16"/>
      <c r="R406" s="16"/>
      <c r="S406" s="16"/>
    </row>
    <row r="407" ht="12.75" customHeight="1">
      <c r="G407" s="17"/>
      <c r="I407" s="18"/>
      <c r="N407" s="16"/>
      <c r="O407" s="16"/>
      <c r="P407" s="16"/>
      <c r="Q407" s="16"/>
      <c r="R407" s="16"/>
      <c r="S407" s="16"/>
    </row>
    <row r="408" ht="12.75" customHeight="1">
      <c r="G408" s="17"/>
      <c r="I408" s="18"/>
      <c r="N408" s="16"/>
      <c r="O408" s="16"/>
      <c r="P408" s="16"/>
      <c r="Q408" s="16"/>
      <c r="R408" s="16"/>
      <c r="S408" s="16"/>
    </row>
    <row r="409" ht="12.75" customHeight="1">
      <c r="G409" s="17"/>
      <c r="I409" s="18"/>
      <c r="N409" s="16"/>
      <c r="O409" s="16"/>
      <c r="P409" s="16"/>
      <c r="Q409" s="16"/>
      <c r="R409" s="16"/>
      <c r="S409" s="16"/>
    </row>
    <row r="410" ht="12.75" customHeight="1">
      <c r="G410" s="17"/>
      <c r="I410" s="18"/>
      <c r="N410" s="16"/>
      <c r="O410" s="16"/>
      <c r="P410" s="16"/>
      <c r="Q410" s="16"/>
      <c r="R410" s="16"/>
      <c r="S410" s="16"/>
    </row>
    <row r="411" ht="12.75" customHeight="1">
      <c r="G411" s="17"/>
      <c r="I411" s="18"/>
      <c r="N411" s="16"/>
      <c r="O411" s="16"/>
      <c r="P411" s="16"/>
      <c r="Q411" s="16"/>
      <c r="R411" s="16"/>
      <c r="S411" s="16"/>
    </row>
    <row r="412" ht="12.75" customHeight="1">
      <c r="G412" s="17"/>
      <c r="I412" s="18"/>
      <c r="N412" s="16"/>
      <c r="O412" s="16"/>
      <c r="P412" s="16"/>
      <c r="Q412" s="16"/>
      <c r="R412" s="16"/>
      <c r="S412" s="16"/>
    </row>
    <row r="413" ht="12.75" customHeight="1">
      <c r="G413" s="17"/>
      <c r="I413" s="18"/>
      <c r="N413" s="16"/>
      <c r="O413" s="16"/>
      <c r="P413" s="16"/>
      <c r="Q413" s="16"/>
      <c r="R413" s="16"/>
      <c r="S413" s="16"/>
    </row>
    <row r="414" ht="12.75" customHeight="1">
      <c r="G414" s="17"/>
      <c r="I414" s="18"/>
      <c r="N414" s="16"/>
      <c r="O414" s="16"/>
      <c r="P414" s="16"/>
      <c r="Q414" s="16"/>
      <c r="R414" s="16"/>
      <c r="S414" s="16"/>
    </row>
    <row r="415" ht="12.75" customHeight="1">
      <c r="G415" s="17"/>
      <c r="I415" s="18"/>
      <c r="N415" s="16"/>
      <c r="O415" s="16"/>
      <c r="P415" s="16"/>
      <c r="Q415" s="16"/>
      <c r="R415" s="16"/>
      <c r="S415" s="16"/>
    </row>
    <row r="416" ht="12.75" customHeight="1">
      <c r="G416" s="17"/>
      <c r="I416" s="18"/>
      <c r="N416" s="16"/>
      <c r="O416" s="16"/>
      <c r="P416" s="16"/>
      <c r="Q416" s="16"/>
      <c r="R416" s="16"/>
      <c r="S416" s="16"/>
    </row>
    <row r="417" ht="12.75" customHeight="1">
      <c r="G417" s="17"/>
      <c r="I417" s="18"/>
      <c r="N417" s="16"/>
      <c r="O417" s="16"/>
      <c r="P417" s="16"/>
      <c r="Q417" s="16"/>
      <c r="R417" s="16"/>
      <c r="S417" s="16"/>
    </row>
    <row r="418" ht="12.75" customHeight="1">
      <c r="G418" s="17"/>
      <c r="I418" s="18"/>
      <c r="N418" s="16"/>
      <c r="O418" s="16"/>
      <c r="P418" s="16"/>
      <c r="Q418" s="16"/>
      <c r="R418" s="16"/>
      <c r="S418" s="16"/>
    </row>
    <row r="419" ht="12.75" customHeight="1">
      <c r="G419" s="17"/>
      <c r="I419" s="18"/>
      <c r="N419" s="16"/>
      <c r="O419" s="16"/>
      <c r="P419" s="16"/>
      <c r="Q419" s="16"/>
      <c r="R419" s="16"/>
      <c r="S419" s="16"/>
    </row>
    <row r="420" ht="12.75" customHeight="1">
      <c r="G420" s="17"/>
      <c r="I420" s="18"/>
      <c r="N420" s="16"/>
      <c r="O420" s="16"/>
      <c r="P420" s="16"/>
      <c r="Q420" s="16"/>
      <c r="R420" s="16"/>
      <c r="S420" s="16"/>
    </row>
    <row r="421" ht="12.75" customHeight="1">
      <c r="G421" s="17"/>
      <c r="I421" s="18"/>
      <c r="N421" s="16"/>
      <c r="O421" s="16"/>
      <c r="P421" s="16"/>
      <c r="Q421" s="16"/>
      <c r="R421" s="16"/>
      <c r="S421" s="16"/>
    </row>
    <row r="422" ht="12.75" customHeight="1">
      <c r="G422" s="17"/>
      <c r="I422" s="18"/>
      <c r="N422" s="16"/>
      <c r="O422" s="16"/>
      <c r="P422" s="16"/>
      <c r="Q422" s="16"/>
      <c r="R422" s="16"/>
      <c r="S422" s="16"/>
    </row>
    <row r="423" ht="12.75" customHeight="1">
      <c r="G423" s="17"/>
      <c r="I423" s="18"/>
      <c r="N423" s="16"/>
      <c r="O423" s="16"/>
      <c r="P423" s="16"/>
      <c r="Q423" s="16"/>
      <c r="R423" s="16"/>
      <c r="S423" s="16"/>
    </row>
    <row r="424" ht="12.75" customHeight="1">
      <c r="G424" s="17"/>
      <c r="I424" s="18"/>
      <c r="N424" s="16"/>
      <c r="O424" s="16"/>
      <c r="P424" s="16"/>
      <c r="Q424" s="16"/>
      <c r="R424" s="16"/>
      <c r="S424" s="16"/>
    </row>
    <row r="425" ht="12.75" customHeight="1">
      <c r="G425" s="17"/>
      <c r="I425" s="18"/>
      <c r="N425" s="16"/>
      <c r="O425" s="16"/>
      <c r="P425" s="16"/>
      <c r="Q425" s="16"/>
      <c r="R425" s="16"/>
      <c r="S425" s="16"/>
    </row>
    <row r="426" ht="12.75" customHeight="1">
      <c r="G426" s="17"/>
      <c r="I426" s="18"/>
      <c r="N426" s="16"/>
      <c r="O426" s="16"/>
      <c r="P426" s="16"/>
      <c r="Q426" s="16"/>
      <c r="R426" s="16"/>
      <c r="S426" s="16"/>
    </row>
    <row r="427" ht="12.75" customHeight="1">
      <c r="G427" s="17"/>
      <c r="I427" s="18"/>
      <c r="N427" s="16"/>
      <c r="O427" s="16"/>
      <c r="P427" s="16"/>
      <c r="Q427" s="16"/>
      <c r="R427" s="16"/>
      <c r="S427" s="16"/>
    </row>
    <row r="428" ht="12.75" customHeight="1">
      <c r="G428" s="17"/>
      <c r="I428" s="18"/>
      <c r="N428" s="16"/>
      <c r="O428" s="16"/>
      <c r="P428" s="16"/>
      <c r="Q428" s="16"/>
      <c r="R428" s="16"/>
      <c r="S428" s="16"/>
    </row>
    <row r="429" ht="12.75" customHeight="1">
      <c r="G429" s="17"/>
      <c r="I429" s="18"/>
      <c r="N429" s="16"/>
      <c r="O429" s="16"/>
      <c r="P429" s="16"/>
      <c r="Q429" s="16"/>
      <c r="R429" s="16"/>
      <c r="S429" s="16"/>
    </row>
    <row r="430" ht="12.75" customHeight="1">
      <c r="G430" s="17"/>
      <c r="I430" s="18"/>
      <c r="N430" s="16"/>
      <c r="O430" s="16"/>
      <c r="P430" s="16"/>
      <c r="Q430" s="16"/>
      <c r="R430" s="16"/>
      <c r="S430" s="16"/>
    </row>
    <row r="431" ht="12.75" customHeight="1">
      <c r="G431" s="17"/>
      <c r="I431" s="18"/>
      <c r="N431" s="16"/>
      <c r="O431" s="16"/>
      <c r="P431" s="16"/>
      <c r="Q431" s="16"/>
      <c r="R431" s="16"/>
      <c r="S431" s="16"/>
    </row>
    <row r="432" ht="12.75" customHeight="1">
      <c r="G432" s="17"/>
      <c r="I432" s="18"/>
      <c r="N432" s="16"/>
      <c r="O432" s="16"/>
      <c r="P432" s="16"/>
      <c r="Q432" s="16"/>
      <c r="R432" s="16"/>
      <c r="S432" s="16"/>
    </row>
    <row r="433" ht="12.75" customHeight="1">
      <c r="G433" s="17"/>
      <c r="I433" s="18"/>
      <c r="N433" s="16"/>
      <c r="O433" s="16"/>
      <c r="P433" s="16"/>
      <c r="Q433" s="16"/>
      <c r="R433" s="16"/>
      <c r="S433" s="16"/>
    </row>
    <row r="434" ht="12.75" customHeight="1">
      <c r="G434" s="17"/>
      <c r="I434" s="18"/>
      <c r="N434" s="16"/>
      <c r="O434" s="16"/>
      <c r="P434" s="16"/>
      <c r="Q434" s="16"/>
      <c r="R434" s="16"/>
      <c r="S434" s="16"/>
    </row>
    <row r="435" ht="12.75" customHeight="1">
      <c r="G435" s="17"/>
      <c r="I435" s="18"/>
      <c r="N435" s="16"/>
      <c r="O435" s="16"/>
      <c r="P435" s="16"/>
      <c r="Q435" s="16"/>
      <c r="R435" s="16"/>
      <c r="S435" s="16"/>
    </row>
    <row r="436" ht="12.75" customHeight="1">
      <c r="G436" s="17"/>
      <c r="I436" s="18"/>
      <c r="N436" s="16"/>
      <c r="O436" s="16"/>
      <c r="P436" s="16"/>
      <c r="Q436" s="16"/>
      <c r="R436" s="16"/>
      <c r="S436" s="16"/>
    </row>
    <row r="437" ht="12.75" customHeight="1">
      <c r="G437" s="17"/>
      <c r="I437" s="18"/>
      <c r="N437" s="16"/>
      <c r="O437" s="16"/>
      <c r="P437" s="16"/>
      <c r="Q437" s="16"/>
      <c r="R437" s="16"/>
      <c r="S437" s="16"/>
    </row>
    <row r="438" ht="12.75" customHeight="1">
      <c r="G438" s="17"/>
      <c r="I438" s="18"/>
      <c r="N438" s="16"/>
      <c r="O438" s="16"/>
      <c r="P438" s="16"/>
      <c r="Q438" s="16"/>
      <c r="R438" s="16"/>
      <c r="S438" s="16"/>
    </row>
    <row r="439" ht="12.75" customHeight="1">
      <c r="G439" s="17"/>
      <c r="I439" s="18"/>
      <c r="N439" s="16"/>
      <c r="O439" s="16"/>
      <c r="P439" s="16"/>
      <c r="Q439" s="16"/>
      <c r="R439" s="16"/>
      <c r="S439" s="16"/>
    </row>
    <row r="440" ht="12.75" customHeight="1">
      <c r="G440" s="17"/>
      <c r="I440" s="18"/>
      <c r="N440" s="16"/>
      <c r="O440" s="16"/>
      <c r="P440" s="16"/>
      <c r="Q440" s="16"/>
      <c r="R440" s="16"/>
      <c r="S440" s="16"/>
    </row>
    <row r="441" ht="12.75" customHeight="1">
      <c r="G441" s="17"/>
      <c r="I441" s="18"/>
      <c r="N441" s="16"/>
      <c r="O441" s="16"/>
      <c r="P441" s="16"/>
      <c r="Q441" s="16"/>
      <c r="R441" s="16"/>
      <c r="S441" s="16"/>
    </row>
    <row r="442" ht="12.75" customHeight="1">
      <c r="G442" s="17"/>
      <c r="I442" s="18"/>
      <c r="N442" s="16"/>
      <c r="O442" s="16"/>
      <c r="P442" s="16"/>
      <c r="Q442" s="16"/>
      <c r="R442" s="16"/>
      <c r="S442" s="16"/>
    </row>
    <row r="443" ht="12.75" customHeight="1">
      <c r="G443" s="17"/>
      <c r="I443" s="18"/>
      <c r="N443" s="16"/>
      <c r="O443" s="16"/>
      <c r="P443" s="16"/>
      <c r="Q443" s="16"/>
      <c r="R443" s="16"/>
      <c r="S443" s="16"/>
    </row>
    <row r="444" ht="12.75" customHeight="1">
      <c r="G444" s="17"/>
      <c r="I444" s="18"/>
      <c r="N444" s="16"/>
      <c r="O444" s="16"/>
      <c r="P444" s="16"/>
      <c r="Q444" s="16"/>
      <c r="R444" s="16"/>
      <c r="S444" s="16"/>
    </row>
    <row r="445" ht="12.75" customHeight="1">
      <c r="G445" s="17"/>
      <c r="I445" s="18"/>
      <c r="N445" s="16"/>
      <c r="O445" s="16"/>
      <c r="P445" s="16"/>
      <c r="Q445" s="16"/>
      <c r="R445" s="16"/>
      <c r="S445" s="16"/>
    </row>
    <row r="446" ht="12.75" customHeight="1">
      <c r="G446" s="17"/>
      <c r="I446" s="18"/>
      <c r="N446" s="16"/>
      <c r="O446" s="16"/>
      <c r="P446" s="16"/>
      <c r="Q446" s="16"/>
      <c r="R446" s="16"/>
      <c r="S446" s="16"/>
    </row>
    <row r="447" ht="12.75" customHeight="1">
      <c r="G447" s="17"/>
      <c r="I447" s="18"/>
      <c r="N447" s="16"/>
      <c r="O447" s="16"/>
      <c r="P447" s="16"/>
      <c r="Q447" s="16"/>
      <c r="R447" s="16"/>
      <c r="S447" s="16"/>
    </row>
    <row r="448" ht="12.75" customHeight="1">
      <c r="G448" s="17"/>
      <c r="I448" s="18"/>
      <c r="N448" s="16"/>
      <c r="O448" s="16"/>
      <c r="P448" s="16"/>
      <c r="Q448" s="16"/>
      <c r="R448" s="16"/>
      <c r="S448" s="16"/>
    </row>
    <row r="449" ht="12.75" customHeight="1">
      <c r="G449" s="17"/>
      <c r="I449" s="18"/>
      <c r="N449" s="16"/>
      <c r="O449" s="16"/>
      <c r="P449" s="16"/>
      <c r="Q449" s="16"/>
      <c r="R449" s="16"/>
      <c r="S449" s="16"/>
    </row>
    <row r="450" ht="12.75" customHeight="1">
      <c r="G450" s="17"/>
      <c r="I450" s="18"/>
      <c r="N450" s="16"/>
      <c r="O450" s="16"/>
      <c r="P450" s="16"/>
      <c r="Q450" s="16"/>
      <c r="R450" s="16"/>
      <c r="S450" s="16"/>
    </row>
    <row r="451" ht="12.75" customHeight="1">
      <c r="G451" s="17"/>
      <c r="I451" s="18"/>
      <c r="N451" s="16"/>
      <c r="O451" s="16"/>
      <c r="P451" s="16"/>
      <c r="Q451" s="16"/>
      <c r="R451" s="16"/>
      <c r="S451" s="16"/>
    </row>
    <row r="452" ht="12.75" customHeight="1">
      <c r="G452" s="17"/>
      <c r="I452" s="18"/>
      <c r="N452" s="16"/>
      <c r="O452" s="16"/>
      <c r="P452" s="16"/>
      <c r="Q452" s="16"/>
      <c r="R452" s="16"/>
      <c r="S452" s="16"/>
    </row>
    <row r="453" ht="12.75" customHeight="1">
      <c r="G453" s="17"/>
      <c r="I453" s="18"/>
      <c r="N453" s="16"/>
      <c r="O453" s="16"/>
      <c r="P453" s="16"/>
      <c r="Q453" s="16"/>
      <c r="R453" s="16"/>
      <c r="S453" s="16"/>
    </row>
    <row r="454" ht="12.75" customHeight="1">
      <c r="G454" s="17"/>
      <c r="I454" s="18"/>
      <c r="N454" s="16"/>
      <c r="O454" s="16"/>
      <c r="P454" s="16"/>
      <c r="Q454" s="16"/>
      <c r="R454" s="16"/>
      <c r="S454" s="16"/>
    </row>
    <row r="455" ht="12.75" customHeight="1">
      <c r="G455" s="17"/>
      <c r="I455" s="18"/>
      <c r="N455" s="16"/>
      <c r="O455" s="16"/>
      <c r="P455" s="16"/>
      <c r="Q455" s="16"/>
      <c r="R455" s="16"/>
      <c r="S455" s="16"/>
    </row>
    <row r="456" ht="12.75" customHeight="1">
      <c r="G456" s="17"/>
      <c r="I456" s="18"/>
      <c r="N456" s="16"/>
      <c r="O456" s="16"/>
      <c r="P456" s="16"/>
      <c r="Q456" s="16"/>
      <c r="R456" s="16"/>
      <c r="S456" s="16"/>
    </row>
    <row r="457" ht="12.75" customHeight="1">
      <c r="G457" s="17"/>
      <c r="I457" s="18"/>
      <c r="N457" s="16"/>
      <c r="O457" s="16"/>
      <c r="P457" s="16"/>
      <c r="Q457" s="16"/>
      <c r="R457" s="16"/>
      <c r="S457" s="16"/>
    </row>
    <row r="458" ht="12.75" customHeight="1">
      <c r="G458" s="17"/>
      <c r="I458" s="18"/>
      <c r="N458" s="16"/>
      <c r="O458" s="16"/>
      <c r="P458" s="16"/>
      <c r="Q458" s="16"/>
      <c r="R458" s="16"/>
      <c r="S458" s="16"/>
    </row>
    <row r="459" ht="12.75" customHeight="1">
      <c r="G459" s="17"/>
      <c r="I459" s="18"/>
      <c r="N459" s="16"/>
      <c r="O459" s="16"/>
      <c r="P459" s="16"/>
      <c r="Q459" s="16"/>
      <c r="R459" s="16"/>
      <c r="S459" s="16"/>
    </row>
    <row r="460" ht="12.75" customHeight="1">
      <c r="G460" s="17"/>
      <c r="I460" s="18"/>
      <c r="N460" s="16"/>
      <c r="O460" s="16"/>
      <c r="P460" s="16"/>
      <c r="Q460" s="16"/>
      <c r="R460" s="16"/>
      <c r="S460" s="16"/>
    </row>
    <row r="461" ht="12.75" customHeight="1">
      <c r="G461" s="17"/>
      <c r="I461" s="18"/>
      <c r="N461" s="16"/>
      <c r="O461" s="16"/>
      <c r="P461" s="16"/>
      <c r="Q461" s="16"/>
      <c r="R461" s="16"/>
      <c r="S461" s="16"/>
    </row>
    <row r="462" ht="12.75" customHeight="1">
      <c r="G462" s="17"/>
      <c r="I462" s="18"/>
      <c r="N462" s="16"/>
      <c r="O462" s="16"/>
      <c r="P462" s="16"/>
      <c r="Q462" s="16"/>
      <c r="R462" s="16"/>
      <c r="S462" s="16"/>
    </row>
    <row r="463" ht="12.75" customHeight="1">
      <c r="G463" s="17"/>
      <c r="I463" s="18"/>
      <c r="N463" s="16"/>
      <c r="O463" s="16"/>
      <c r="P463" s="16"/>
      <c r="Q463" s="16"/>
      <c r="R463" s="16"/>
      <c r="S463" s="16"/>
    </row>
    <row r="464" ht="12.75" customHeight="1">
      <c r="G464" s="17"/>
      <c r="I464" s="18"/>
      <c r="N464" s="16"/>
      <c r="O464" s="16"/>
      <c r="P464" s="16"/>
      <c r="Q464" s="16"/>
      <c r="R464" s="16"/>
      <c r="S464" s="16"/>
    </row>
    <row r="465" ht="12.75" customHeight="1">
      <c r="G465" s="17"/>
      <c r="I465" s="18"/>
      <c r="N465" s="16"/>
      <c r="O465" s="16"/>
      <c r="P465" s="16"/>
      <c r="Q465" s="16"/>
      <c r="R465" s="16"/>
      <c r="S465" s="16"/>
    </row>
    <row r="466" ht="12.75" customHeight="1">
      <c r="G466" s="17"/>
      <c r="I466" s="18"/>
      <c r="N466" s="16"/>
      <c r="O466" s="16"/>
      <c r="P466" s="16"/>
      <c r="Q466" s="16"/>
      <c r="R466" s="16"/>
      <c r="S466" s="16"/>
    </row>
    <row r="467" ht="12.75" customHeight="1">
      <c r="G467" s="17"/>
      <c r="I467" s="18"/>
      <c r="N467" s="16"/>
      <c r="O467" s="16"/>
      <c r="P467" s="16"/>
      <c r="Q467" s="16"/>
      <c r="R467" s="16"/>
      <c r="S467" s="16"/>
    </row>
    <row r="468" ht="12.75" customHeight="1">
      <c r="G468" s="17"/>
      <c r="I468" s="18"/>
      <c r="N468" s="16"/>
      <c r="O468" s="16"/>
      <c r="P468" s="16"/>
      <c r="Q468" s="16"/>
      <c r="R468" s="16"/>
      <c r="S468" s="16"/>
    </row>
    <row r="469" ht="12.75" customHeight="1">
      <c r="G469" s="17"/>
      <c r="I469" s="18"/>
      <c r="N469" s="16"/>
      <c r="O469" s="16"/>
      <c r="P469" s="16"/>
      <c r="Q469" s="16"/>
      <c r="R469" s="16"/>
      <c r="S469" s="16"/>
    </row>
    <row r="470" ht="12.75" customHeight="1">
      <c r="G470" s="17"/>
      <c r="I470" s="18"/>
      <c r="N470" s="16"/>
      <c r="O470" s="16"/>
      <c r="P470" s="16"/>
      <c r="Q470" s="16"/>
      <c r="R470" s="16"/>
      <c r="S470" s="16"/>
    </row>
    <row r="471" ht="12.75" customHeight="1">
      <c r="G471" s="17"/>
      <c r="I471" s="18"/>
      <c r="N471" s="16"/>
      <c r="O471" s="16"/>
      <c r="P471" s="16"/>
      <c r="Q471" s="16"/>
      <c r="R471" s="16"/>
      <c r="S471" s="16"/>
    </row>
    <row r="472" ht="12.75" customHeight="1">
      <c r="G472" s="17"/>
      <c r="I472" s="18"/>
      <c r="N472" s="16"/>
      <c r="O472" s="16"/>
      <c r="P472" s="16"/>
      <c r="Q472" s="16"/>
      <c r="R472" s="16"/>
      <c r="S472" s="16"/>
    </row>
    <row r="473" ht="12.75" customHeight="1">
      <c r="G473" s="17"/>
      <c r="I473" s="18"/>
      <c r="N473" s="16"/>
      <c r="O473" s="16"/>
      <c r="P473" s="16"/>
      <c r="Q473" s="16"/>
      <c r="R473" s="16"/>
      <c r="S473" s="16"/>
    </row>
    <row r="474" ht="12.75" customHeight="1">
      <c r="G474" s="17"/>
      <c r="I474" s="18"/>
      <c r="N474" s="16"/>
      <c r="O474" s="16"/>
      <c r="P474" s="16"/>
      <c r="Q474" s="16"/>
      <c r="R474" s="16"/>
      <c r="S474" s="16"/>
    </row>
    <row r="475" ht="12.75" customHeight="1">
      <c r="G475" s="17"/>
      <c r="I475" s="18"/>
      <c r="N475" s="16"/>
      <c r="O475" s="16"/>
      <c r="P475" s="16"/>
      <c r="Q475" s="16"/>
      <c r="R475" s="16"/>
      <c r="S475" s="16"/>
    </row>
    <row r="476" ht="12.75" customHeight="1">
      <c r="G476" s="17"/>
      <c r="I476" s="18"/>
      <c r="N476" s="16"/>
      <c r="O476" s="16"/>
      <c r="P476" s="16"/>
      <c r="Q476" s="16"/>
      <c r="R476" s="16"/>
      <c r="S476" s="16"/>
    </row>
    <row r="477" ht="12.75" customHeight="1">
      <c r="G477" s="17"/>
      <c r="I477" s="18"/>
      <c r="N477" s="16"/>
      <c r="O477" s="16"/>
      <c r="P477" s="16"/>
      <c r="Q477" s="16"/>
      <c r="R477" s="16"/>
      <c r="S477" s="16"/>
    </row>
    <row r="478" ht="12.75" customHeight="1">
      <c r="G478" s="17"/>
      <c r="I478" s="18"/>
      <c r="N478" s="16"/>
      <c r="O478" s="16"/>
      <c r="P478" s="16"/>
      <c r="Q478" s="16"/>
      <c r="R478" s="16"/>
      <c r="S478" s="16"/>
    </row>
    <row r="479" ht="12.75" customHeight="1">
      <c r="G479" s="17"/>
      <c r="I479" s="18"/>
      <c r="N479" s="16"/>
      <c r="O479" s="16"/>
      <c r="P479" s="16"/>
      <c r="Q479" s="16"/>
      <c r="R479" s="16"/>
      <c r="S479" s="16"/>
    </row>
    <row r="480" ht="12.75" customHeight="1">
      <c r="G480" s="17"/>
      <c r="I480" s="18"/>
      <c r="N480" s="16"/>
      <c r="O480" s="16"/>
      <c r="P480" s="16"/>
      <c r="Q480" s="16"/>
      <c r="R480" s="16"/>
      <c r="S480" s="16"/>
    </row>
    <row r="481" ht="12.75" customHeight="1">
      <c r="G481" s="17"/>
      <c r="I481" s="18"/>
      <c r="N481" s="16"/>
      <c r="O481" s="16"/>
      <c r="P481" s="16"/>
      <c r="Q481" s="16"/>
      <c r="R481" s="16"/>
      <c r="S481" s="16"/>
    </row>
    <row r="482" ht="12.75" customHeight="1">
      <c r="G482" s="17"/>
      <c r="I482" s="18"/>
      <c r="N482" s="16"/>
      <c r="O482" s="16"/>
      <c r="P482" s="16"/>
      <c r="Q482" s="16"/>
      <c r="R482" s="16"/>
      <c r="S482" s="16"/>
    </row>
    <row r="483" ht="12.75" customHeight="1">
      <c r="G483" s="17"/>
      <c r="I483" s="18"/>
      <c r="N483" s="16"/>
      <c r="O483" s="16"/>
      <c r="P483" s="16"/>
      <c r="Q483" s="16"/>
      <c r="R483" s="16"/>
      <c r="S483" s="16"/>
    </row>
    <row r="484" ht="12.75" customHeight="1">
      <c r="G484" s="17"/>
      <c r="I484" s="18"/>
      <c r="N484" s="16"/>
      <c r="O484" s="16"/>
      <c r="P484" s="16"/>
      <c r="Q484" s="16"/>
      <c r="R484" s="16"/>
      <c r="S484" s="16"/>
    </row>
    <row r="485" ht="12.75" customHeight="1">
      <c r="G485" s="17"/>
      <c r="I485" s="18"/>
      <c r="N485" s="16"/>
      <c r="O485" s="16"/>
      <c r="P485" s="16"/>
      <c r="Q485" s="16"/>
      <c r="R485" s="16"/>
      <c r="S485" s="16"/>
    </row>
    <row r="486" ht="12.75" customHeight="1">
      <c r="G486" s="17"/>
      <c r="I486" s="18"/>
      <c r="N486" s="16"/>
      <c r="O486" s="16"/>
      <c r="P486" s="16"/>
      <c r="Q486" s="16"/>
      <c r="R486" s="16"/>
      <c r="S486" s="16"/>
    </row>
    <row r="487" ht="12.75" customHeight="1">
      <c r="G487" s="17"/>
      <c r="I487" s="18"/>
      <c r="N487" s="16"/>
      <c r="O487" s="16"/>
      <c r="P487" s="16"/>
      <c r="Q487" s="16"/>
      <c r="R487" s="16"/>
      <c r="S487" s="16"/>
    </row>
    <row r="488" ht="12.75" customHeight="1">
      <c r="G488" s="17"/>
      <c r="I488" s="18"/>
      <c r="N488" s="16"/>
      <c r="O488" s="16"/>
      <c r="P488" s="16"/>
      <c r="Q488" s="16"/>
      <c r="R488" s="16"/>
      <c r="S488" s="16"/>
    </row>
    <row r="489" ht="12.75" customHeight="1">
      <c r="G489" s="17"/>
      <c r="I489" s="18"/>
      <c r="N489" s="16"/>
      <c r="O489" s="16"/>
      <c r="P489" s="16"/>
      <c r="Q489" s="16"/>
      <c r="R489" s="16"/>
      <c r="S489" s="16"/>
    </row>
    <row r="490" ht="12.75" customHeight="1">
      <c r="G490" s="17"/>
      <c r="I490" s="18"/>
      <c r="N490" s="16"/>
      <c r="O490" s="16"/>
      <c r="P490" s="16"/>
      <c r="Q490" s="16"/>
      <c r="R490" s="16"/>
      <c r="S490" s="16"/>
    </row>
    <row r="491" ht="12.75" customHeight="1">
      <c r="G491" s="17"/>
      <c r="I491" s="18"/>
      <c r="N491" s="16"/>
      <c r="O491" s="16"/>
      <c r="P491" s="16"/>
      <c r="Q491" s="16"/>
      <c r="R491" s="16"/>
      <c r="S491" s="16"/>
    </row>
    <row r="492" ht="12.75" customHeight="1">
      <c r="G492" s="17"/>
      <c r="I492" s="18"/>
      <c r="N492" s="16"/>
      <c r="O492" s="16"/>
      <c r="P492" s="16"/>
      <c r="Q492" s="16"/>
      <c r="R492" s="16"/>
      <c r="S492" s="16"/>
    </row>
    <row r="493" ht="12.75" customHeight="1">
      <c r="G493" s="17"/>
      <c r="I493" s="18"/>
      <c r="N493" s="16"/>
      <c r="O493" s="16"/>
      <c r="P493" s="16"/>
      <c r="Q493" s="16"/>
      <c r="R493" s="16"/>
      <c r="S493" s="16"/>
    </row>
    <row r="494" ht="12.75" customHeight="1">
      <c r="G494" s="17"/>
      <c r="I494" s="18"/>
      <c r="N494" s="16"/>
      <c r="O494" s="16"/>
      <c r="P494" s="16"/>
      <c r="Q494" s="16"/>
      <c r="R494" s="16"/>
      <c r="S494" s="16"/>
    </row>
    <row r="495" ht="12.75" customHeight="1">
      <c r="G495" s="17"/>
      <c r="I495" s="18"/>
      <c r="N495" s="16"/>
      <c r="O495" s="16"/>
      <c r="P495" s="16"/>
      <c r="Q495" s="16"/>
      <c r="R495" s="16"/>
      <c r="S495" s="16"/>
    </row>
    <row r="496" ht="12.75" customHeight="1">
      <c r="G496" s="17"/>
      <c r="I496" s="18"/>
      <c r="N496" s="16"/>
      <c r="O496" s="16"/>
      <c r="P496" s="16"/>
      <c r="Q496" s="16"/>
      <c r="R496" s="16"/>
      <c r="S496" s="16"/>
    </row>
    <row r="497" ht="12.75" customHeight="1">
      <c r="G497" s="17"/>
      <c r="I497" s="18"/>
      <c r="N497" s="16"/>
      <c r="O497" s="16"/>
      <c r="P497" s="16"/>
      <c r="Q497" s="16"/>
      <c r="R497" s="16"/>
      <c r="S497" s="16"/>
    </row>
    <row r="498" ht="12.75" customHeight="1">
      <c r="G498" s="17"/>
      <c r="I498" s="18"/>
      <c r="N498" s="16"/>
      <c r="O498" s="16"/>
      <c r="P498" s="16"/>
      <c r="Q498" s="16"/>
      <c r="R498" s="16"/>
      <c r="S498" s="16"/>
    </row>
    <row r="499" ht="12.75" customHeight="1">
      <c r="G499" s="17"/>
      <c r="I499" s="18"/>
      <c r="N499" s="16"/>
      <c r="O499" s="16"/>
      <c r="P499" s="16"/>
      <c r="Q499" s="16"/>
      <c r="R499" s="16"/>
      <c r="S499" s="16"/>
    </row>
    <row r="500" ht="12.75" customHeight="1">
      <c r="G500" s="17"/>
      <c r="I500" s="18"/>
      <c r="N500" s="16"/>
      <c r="O500" s="16"/>
      <c r="P500" s="16"/>
      <c r="Q500" s="16"/>
      <c r="R500" s="16"/>
      <c r="S500" s="16"/>
    </row>
    <row r="501" ht="12.75" customHeight="1">
      <c r="G501" s="17"/>
      <c r="I501" s="18"/>
      <c r="N501" s="16"/>
      <c r="O501" s="16"/>
      <c r="P501" s="16"/>
      <c r="Q501" s="16"/>
      <c r="R501" s="16"/>
      <c r="S501" s="16"/>
    </row>
    <row r="502" ht="12.75" customHeight="1">
      <c r="G502" s="17"/>
      <c r="I502" s="18"/>
      <c r="N502" s="16"/>
      <c r="O502" s="16"/>
      <c r="P502" s="16"/>
      <c r="Q502" s="16"/>
      <c r="R502" s="16"/>
      <c r="S502" s="16"/>
    </row>
    <row r="503" ht="12.75" customHeight="1">
      <c r="G503" s="17"/>
      <c r="I503" s="18"/>
      <c r="N503" s="16"/>
      <c r="O503" s="16"/>
      <c r="P503" s="16"/>
      <c r="Q503" s="16"/>
      <c r="R503" s="16"/>
      <c r="S503" s="16"/>
    </row>
    <row r="504" ht="12.75" customHeight="1">
      <c r="G504" s="17"/>
      <c r="I504" s="18"/>
      <c r="N504" s="16"/>
      <c r="O504" s="16"/>
      <c r="P504" s="16"/>
      <c r="Q504" s="16"/>
      <c r="R504" s="16"/>
      <c r="S504" s="16"/>
    </row>
    <row r="505" ht="12.75" customHeight="1">
      <c r="G505" s="17"/>
      <c r="I505" s="18"/>
      <c r="N505" s="16"/>
      <c r="O505" s="16"/>
      <c r="P505" s="16"/>
      <c r="Q505" s="16"/>
      <c r="R505" s="16"/>
      <c r="S505" s="16"/>
    </row>
    <row r="506" ht="12.75" customHeight="1">
      <c r="G506" s="17"/>
      <c r="I506" s="18"/>
      <c r="N506" s="16"/>
      <c r="O506" s="16"/>
      <c r="P506" s="16"/>
      <c r="Q506" s="16"/>
      <c r="R506" s="16"/>
      <c r="S506" s="16"/>
    </row>
    <row r="507" ht="12.75" customHeight="1">
      <c r="G507" s="17"/>
      <c r="I507" s="18"/>
      <c r="N507" s="16"/>
      <c r="O507" s="16"/>
      <c r="P507" s="16"/>
      <c r="Q507" s="16"/>
      <c r="R507" s="16"/>
      <c r="S507" s="16"/>
    </row>
    <row r="508" ht="12.75" customHeight="1">
      <c r="G508" s="17"/>
      <c r="I508" s="18"/>
      <c r="N508" s="16"/>
      <c r="O508" s="16"/>
      <c r="P508" s="16"/>
      <c r="Q508" s="16"/>
      <c r="R508" s="16"/>
      <c r="S508" s="16"/>
    </row>
    <row r="509" ht="12.75" customHeight="1">
      <c r="G509" s="17"/>
      <c r="I509" s="18"/>
      <c r="N509" s="16"/>
      <c r="O509" s="16"/>
      <c r="P509" s="16"/>
      <c r="Q509" s="16"/>
      <c r="R509" s="16"/>
      <c r="S509" s="16"/>
    </row>
    <row r="510" ht="12.75" customHeight="1">
      <c r="G510" s="17"/>
      <c r="I510" s="18"/>
      <c r="N510" s="16"/>
      <c r="O510" s="16"/>
      <c r="P510" s="16"/>
      <c r="Q510" s="16"/>
      <c r="R510" s="16"/>
      <c r="S510" s="16"/>
    </row>
    <row r="511" ht="12.75" customHeight="1">
      <c r="G511" s="17"/>
      <c r="I511" s="18"/>
      <c r="N511" s="16"/>
      <c r="O511" s="16"/>
      <c r="P511" s="16"/>
      <c r="Q511" s="16"/>
      <c r="R511" s="16"/>
      <c r="S511" s="16"/>
    </row>
    <row r="512" ht="12.75" customHeight="1">
      <c r="G512" s="17"/>
      <c r="I512" s="18"/>
      <c r="N512" s="16"/>
      <c r="O512" s="16"/>
      <c r="P512" s="16"/>
      <c r="Q512" s="16"/>
      <c r="R512" s="16"/>
      <c r="S512" s="16"/>
    </row>
    <row r="513" ht="12.75" customHeight="1">
      <c r="G513" s="17"/>
      <c r="I513" s="18"/>
      <c r="N513" s="16"/>
      <c r="O513" s="16"/>
      <c r="P513" s="16"/>
      <c r="Q513" s="16"/>
      <c r="R513" s="16"/>
      <c r="S513" s="16"/>
    </row>
    <row r="514" ht="12.75" customHeight="1">
      <c r="G514" s="17"/>
      <c r="I514" s="18"/>
      <c r="N514" s="16"/>
      <c r="O514" s="16"/>
      <c r="P514" s="16"/>
      <c r="Q514" s="16"/>
      <c r="R514" s="16"/>
      <c r="S514" s="16"/>
    </row>
    <row r="515" ht="12.75" customHeight="1">
      <c r="G515" s="17"/>
      <c r="I515" s="18"/>
      <c r="N515" s="16"/>
      <c r="O515" s="16"/>
      <c r="P515" s="16"/>
      <c r="Q515" s="16"/>
      <c r="R515" s="16"/>
      <c r="S515" s="16"/>
    </row>
    <row r="516" ht="12.75" customHeight="1">
      <c r="G516" s="17"/>
      <c r="I516" s="18"/>
      <c r="N516" s="16"/>
      <c r="O516" s="16"/>
      <c r="P516" s="16"/>
      <c r="Q516" s="16"/>
      <c r="R516" s="16"/>
      <c r="S516" s="16"/>
    </row>
    <row r="517" ht="12.75" customHeight="1">
      <c r="G517" s="17"/>
      <c r="I517" s="18"/>
      <c r="N517" s="16"/>
      <c r="O517" s="16"/>
      <c r="P517" s="16"/>
      <c r="Q517" s="16"/>
      <c r="R517" s="16"/>
      <c r="S517" s="16"/>
    </row>
    <row r="518" ht="12.75" customHeight="1">
      <c r="G518" s="17"/>
      <c r="I518" s="18"/>
      <c r="N518" s="16"/>
      <c r="O518" s="16"/>
      <c r="P518" s="16"/>
      <c r="Q518" s="16"/>
      <c r="R518" s="16"/>
      <c r="S518" s="16"/>
    </row>
    <row r="519" ht="12.75" customHeight="1">
      <c r="G519" s="17"/>
      <c r="I519" s="18"/>
      <c r="N519" s="16"/>
      <c r="O519" s="16"/>
      <c r="P519" s="16"/>
      <c r="Q519" s="16"/>
      <c r="R519" s="16"/>
      <c r="S519" s="16"/>
    </row>
    <row r="520" ht="12.75" customHeight="1">
      <c r="G520" s="17"/>
      <c r="I520" s="18"/>
      <c r="N520" s="16"/>
      <c r="O520" s="16"/>
      <c r="P520" s="16"/>
      <c r="Q520" s="16"/>
      <c r="R520" s="16"/>
      <c r="S520" s="16"/>
    </row>
    <row r="521" ht="12.75" customHeight="1">
      <c r="G521" s="17"/>
      <c r="I521" s="18"/>
      <c r="N521" s="16"/>
      <c r="O521" s="16"/>
      <c r="P521" s="16"/>
      <c r="Q521" s="16"/>
      <c r="R521" s="16"/>
      <c r="S521" s="16"/>
    </row>
    <row r="522" ht="12.75" customHeight="1">
      <c r="G522" s="17"/>
      <c r="I522" s="18"/>
      <c r="N522" s="16"/>
      <c r="O522" s="16"/>
      <c r="P522" s="16"/>
      <c r="Q522" s="16"/>
      <c r="R522" s="16"/>
      <c r="S522" s="16"/>
    </row>
    <row r="523" ht="12.75" customHeight="1">
      <c r="G523" s="17"/>
      <c r="I523" s="18"/>
      <c r="N523" s="16"/>
      <c r="O523" s="16"/>
      <c r="P523" s="16"/>
      <c r="Q523" s="16"/>
      <c r="R523" s="16"/>
      <c r="S523" s="16"/>
    </row>
    <row r="524" ht="12.75" customHeight="1">
      <c r="G524" s="17"/>
      <c r="I524" s="18"/>
      <c r="N524" s="16"/>
      <c r="O524" s="16"/>
      <c r="P524" s="16"/>
      <c r="Q524" s="16"/>
      <c r="R524" s="16"/>
      <c r="S524" s="16"/>
    </row>
    <row r="525" ht="12.75" customHeight="1">
      <c r="G525" s="17"/>
      <c r="I525" s="18"/>
      <c r="N525" s="16"/>
      <c r="O525" s="16"/>
      <c r="P525" s="16"/>
      <c r="Q525" s="16"/>
      <c r="R525" s="16"/>
      <c r="S525" s="16"/>
    </row>
    <row r="526" ht="12.75" customHeight="1">
      <c r="G526" s="17"/>
      <c r="I526" s="18"/>
      <c r="N526" s="16"/>
      <c r="O526" s="16"/>
      <c r="P526" s="16"/>
      <c r="Q526" s="16"/>
      <c r="R526" s="16"/>
      <c r="S526" s="16"/>
    </row>
    <row r="527" ht="12.75" customHeight="1">
      <c r="G527" s="17"/>
      <c r="I527" s="18"/>
      <c r="N527" s="16"/>
      <c r="O527" s="16"/>
      <c r="P527" s="16"/>
      <c r="Q527" s="16"/>
      <c r="R527" s="16"/>
      <c r="S527" s="16"/>
    </row>
    <row r="528" ht="12.75" customHeight="1">
      <c r="G528" s="17"/>
      <c r="I528" s="18"/>
      <c r="N528" s="16"/>
      <c r="O528" s="16"/>
      <c r="P528" s="16"/>
      <c r="Q528" s="16"/>
      <c r="R528" s="16"/>
      <c r="S528" s="16"/>
    </row>
    <row r="529" ht="12.75" customHeight="1">
      <c r="G529" s="17"/>
      <c r="I529" s="18"/>
      <c r="N529" s="16"/>
      <c r="O529" s="16"/>
      <c r="P529" s="16"/>
      <c r="Q529" s="16"/>
      <c r="R529" s="16"/>
      <c r="S529" s="16"/>
    </row>
    <row r="530" ht="12.75" customHeight="1">
      <c r="G530" s="17"/>
      <c r="I530" s="18"/>
      <c r="N530" s="16"/>
      <c r="O530" s="16"/>
      <c r="P530" s="16"/>
      <c r="Q530" s="16"/>
      <c r="R530" s="16"/>
      <c r="S530" s="16"/>
    </row>
    <row r="531" ht="12.75" customHeight="1">
      <c r="G531" s="17"/>
      <c r="I531" s="18"/>
      <c r="N531" s="16"/>
      <c r="O531" s="16"/>
      <c r="P531" s="16"/>
      <c r="Q531" s="16"/>
      <c r="R531" s="16"/>
      <c r="S531" s="16"/>
    </row>
    <row r="532" ht="12.75" customHeight="1">
      <c r="G532" s="17"/>
      <c r="I532" s="18"/>
      <c r="N532" s="16"/>
      <c r="O532" s="16"/>
      <c r="P532" s="16"/>
      <c r="Q532" s="16"/>
      <c r="R532" s="16"/>
      <c r="S532" s="16"/>
    </row>
    <row r="533" ht="12.75" customHeight="1">
      <c r="G533" s="17"/>
      <c r="I533" s="18"/>
      <c r="N533" s="16"/>
      <c r="O533" s="16"/>
      <c r="P533" s="16"/>
      <c r="Q533" s="16"/>
      <c r="R533" s="16"/>
      <c r="S533" s="16"/>
    </row>
    <row r="534" ht="12.75" customHeight="1">
      <c r="G534" s="17"/>
      <c r="I534" s="18"/>
      <c r="N534" s="16"/>
      <c r="O534" s="16"/>
      <c r="P534" s="16"/>
      <c r="Q534" s="16"/>
      <c r="R534" s="16"/>
      <c r="S534" s="16"/>
    </row>
    <row r="535" ht="12.75" customHeight="1">
      <c r="G535" s="17"/>
      <c r="I535" s="18"/>
      <c r="N535" s="16"/>
      <c r="O535" s="16"/>
      <c r="P535" s="16"/>
      <c r="Q535" s="16"/>
      <c r="R535" s="16"/>
      <c r="S535" s="16"/>
    </row>
    <row r="536" ht="12.75" customHeight="1">
      <c r="G536" s="17"/>
      <c r="I536" s="18"/>
      <c r="N536" s="16"/>
      <c r="O536" s="16"/>
      <c r="P536" s="16"/>
      <c r="Q536" s="16"/>
      <c r="R536" s="16"/>
      <c r="S536" s="16"/>
    </row>
    <row r="537" ht="12.75" customHeight="1">
      <c r="G537" s="17"/>
      <c r="I537" s="18"/>
      <c r="N537" s="16"/>
      <c r="O537" s="16"/>
      <c r="P537" s="16"/>
      <c r="Q537" s="16"/>
      <c r="R537" s="16"/>
      <c r="S537" s="16"/>
    </row>
    <row r="538" ht="12.75" customHeight="1">
      <c r="G538" s="17"/>
      <c r="I538" s="18"/>
      <c r="N538" s="16"/>
      <c r="O538" s="16"/>
      <c r="P538" s="16"/>
      <c r="Q538" s="16"/>
      <c r="R538" s="16"/>
      <c r="S538" s="16"/>
    </row>
    <row r="539" ht="12.75" customHeight="1">
      <c r="G539" s="17"/>
      <c r="I539" s="18"/>
      <c r="N539" s="16"/>
      <c r="O539" s="16"/>
      <c r="P539" s="16"/>
      <c r="Q539" s="16"/>
      <c r="R539" s="16"/>
      <c r="S539" s="16"/>
    </row>
    <row r="540" ht="12.75" customHeight="1">
      <c r="G540" s="17"/>
      <c r="I540" s="18"/>
      <c r="N540" s="16"/>
      <c r="O540" s="16"/>
      <c r="P540" s="16"/>
      <c r="Q540" s="16"/>
      <c r="R540" s="16"/>
      <c r="S540" s="16"/>
    </row>
    <row r="541" ht="12.75" customHeight="1">
      <c r="G541" s="17"/>
      <c r="I541" s="18"/>
      <c r="N541" s="16"/>
      <c r="O541" s="16"/>
      <c r="P541" s="16"/>
      <c r="Q541" s="16"/>
      <c r="R541" s="16"/>
      <c r="S541" s="16"/>
    </row>
    <row r="542" ht="12.75" customHeight="1">
      <c r="G542" s="17"/>
      <c r="I542" s="18"/>
      <c r="N542" s="16"/>
      <c r="O542" s="16"/>
      <c r="P542" s="16"/>
      <c r="Q542" s="16"/>
      <c r="R542" s="16"/>
      <c r="S542" s="16"/>
    </row>
    <row r="543" ht="12.75" customHeight="1">
      <c r="G543" s="17"/>
      <c r="I543" s="18"/>
      <c r="N543" s="16"/>
      <c r="O543" s="16"/>
      <c r="P543" s="16"/>
      <c r="Q543" s="16"/>
      <c r="R543" s="16"/>
      <c r="S543" s="16"/>
    </row>
    <row r="544" ht="12.75" customHeight="1">
      <c r="G544" s="17"/>
      <c r="I544" s="18"/>
      <c r="N544" s="16"/>
      <c r="O544" s="16"/>
      <c r="P544" s="16"/>
      <c r="Q544" s="16"/>
      <c r="R544" s="16"/>
      <c r="S544" s="16"/>
    </row>
    <row r="545" ht="12.75" customHeight="1">
      <c r="G545" s="17"/>
      <c r="I545" s="18"/>
      <c r="N545" s="16"/>
      <c r="O545" s="16"/>
      <c r="P545" s="16"/>
      <c r="Q545" s="16"/>
      <c r="R545" s="16"/>
      <c r="S545" s="16"/>
    </row>
    <row r="546" ht="12.75" customHeight="1">
      <c r="G546" s="17"/>
      <c r="I546" s="18"/>
      <c r="N546" s="16"/>
      <c r="O546" s="16"/>
      <c r="P546" s="16"/>
      <c r="Q546" s="16"/>
      <c r="R546" s="16"/>
      <c r="S546" s="16"/>
    </row>
    <row r="547" ht="12.75" customHeight="1">
      <c r="G547" s="17"/>
      <c r="I547" s="18"/>
      <c r="N547" s="16"/>
      <c r="O547" s="16"/>
      <c r="P547" s="16"/>
      <c r="Q547" s="16"/>
      <c r="R547" s="16"/>
      <c r="S547" s="16"/>
    </row>
    <row r="548" ht="12.75" customHeight="1">
      <c r="G548" s="17"/>
      <c r="I548" s="18"/>
      <c r="N548" s="16"/>
      <c r="O548" s="16"/>
      <c r="P548" s="16"/>
      <c r="Q548" s="16"/>
      <c r="R548" s="16"/>
      <c r="S548" s="16"/>
    </row>
    <row r="549" ht="12.75" customHeight="1">
      <c r="G549" s="17"/>
      <c r="I549" s="18"/>
      <c r="N549" s="16"/>
      <c r="O549" s="16"/>
      <c r="P549" s="16"/>
      <c r="Q549" s="16"/>
      <c r="R549" s="16"/>
      <c r="S549" s="16"/>
    </row>
    <row r="550" ht="12.75" customHeight="1">
      <c r="G550" s="17"/>
      <c r="I550" s="18"/>
      <c r="N550" s="16"/>
      <c r="O550" s="16"/>
      <c r="P550" s="16"/>
      <c r="Q550" s="16"/>
      <c r="R550" s="16"/>
      <c r="S550" s="16"/>
    </row>
    <row r="551" ht="12.75" customHeight="1">
      <c r="G551" s="17"/>
      <c r="I551" s="18"/>
      <c r="N551" s="16"/>
      <c r="O551" s="16"/>
      <c r="P551" s="16"/>
      <c r="Q551" s="16"/>
      <c r="R551" s="16"/>
      <c r="S551" s="16"/>
    </row>
    <row r="552" ht="12.75" customHeight="1">
      <c r="G552" s="17"/>
      <c r="I552" s="18"/>
      <c r="N552" s="16"/>
      <c r="O552" s="16"/>
      <c r="P552" s="16"/>
      <c r="Q552" s="16"/>
      <c r="R552" s="16"/>
      <c r="S552" s="16"/>
    </row>
    <row r="553" ht="12.75" customHeight="1">
      <c r="G553" s="17"/>
      <c r="I553" s="18"/>
      <c r="N553" s="16"/>
      <c r="O553" s="16"/>
      <c r="P553" s="16"/>
      <c r="Q553" s="16"/>
      <c r="R553" s="16"/>
      <c r="S553" s="16"/>
    </row>
    <row r="554" ht="12.75" customHeight="1">
      <c r="G554" s="17"/>
      <c r="I554" s="18"/>
      <c r="N554" s="16"/>
      <c r="O554" s="16"/>
      <c r="P554" s="16"/>
      <c r="Q554" s="16"/>
      <c r="R554" s="16"/>
      <c r="S554" s="16"/>
    </row>
    <row r="555" ht="12.75" customHeight="1">
      <c r="G555" s="17"/>
      <c r="I555" s="18"/>
      <c r="N555" s="16"/>
      <c r="O555" s="16"/>
      <c r="P555" s="16"/>
      <c r="Q555" s="16"/>
      <c r="R555" s="16"/>
      <c r="S555" s="16"/>
    </row>
    <row r="556" ht="12.75" customHeight="1">
      <c r="G556" s="17"/>
      <c r="I556" s="18"/>
      <c r="N556" s="16"/>
      <c r="O556" s="16"/>
      <c r="P556" s="16"/>
      <c r="Q556" s="16"/>
      <c r="R556" s="16"/>
      <c r="S556" s="16"/>
    </row>
    <row r="557" ht="12.75" customHeight="1">
      <c r="G557" s="17"/>
      <c r="I557" s="18"/>
      <c r="N557" s="16"/>
      <c r="O557" s="16"/>
      <c r="P557" s="16"/>
      <c r="Q557" s="16"/>
      <c r="R557" s="16"/>
      <c r="S557" s="16"/>
    </row>
    <row r="558" ht="12.75" customHeight="1">
      <c r="G558" s="17"/>
      <c r="I558" s="18"/>
      <c r="N558" s="16"/>
      <c r="O558" s="16"/>
      <c r="P558" s="16"/>
      <c r="Q558" s="16"/>
      <c r="R558" s="16"/>
      <c r="S558" s="16"/>
    </row>
    <row r="559" ht="12.75" customHeight="1">
      <c r="G559" s="17"/>
      <c r="I559" s="18"/>
      <c r="N559" s="16"/>
      <c r="O559" s="16"/>
      <c r="P559" s="16"/>
      <c r="Q559" s="16"/>
      <c r="R559" s="16"/>
      <c r="S559" s="16"/>
    </row>
    <row r="560" ht="12.75" customHeight="1">
      <c r="G560" s="17"/>
      <c r="I560" s="18"/>
      <c r="N560" s="16"/>
      <c r="O560" s="16"/>
      <c r="P560" s="16"/>
      <c r="Q560" s="16"/>
      <c r="R560" s="16"/>
      <c r="S560" s="16"/>
    </row>
    <row r="561" ht="12.75" customHeight="1">
      <c r="G561" s="17"/>
      <c r="I561" s="18"/>
      <c r="N561" s="16"/>
      <c r="O561" s="16"/>
      <c r="P561" s="16"/>
      <c r="Q561" s="16"/>
      <c r="R561" s="16"/>
      <c r="S561" s="16"/>
    </row>
    <row r="562" ht="12.75" customHeight="1">
      <c r="G562" s="17"/>
      <c r="I562" s="18"/>
      <c r="N562" s="16"/>
      <c r="O562" s="16"/>
      <c r="P562" s="16"/>
      <c r="Q562" s="16"/>
      <c r="R562" s="16"/>
      <c r="S562" s="16"/>
    </row>
    <row r="563" ht="12.75" customHeight="1">
      <c r="G563" s="17"/>
      <c r="I563" s="18"/>
      <c r="N563" s="16"/>
      <c r="O563" s="16"/>
      <c r="P563" s="16"/>
      <c r="Q563" s="16"/>
      <c r="R563" s="16"/>
      <c r="S563" s="16"/>
    </row>
    <row r="564" ht="12.75" customHeight="1">
      <c r="G564" s="17"/>
      <c r="I564" s="18"/>
      <c r="N564" s="16"/>
      <c r="O564" s="16"/>
      <c r="P564" s="16"/>
      <c r="Q564" s="16"/>
      <c r="R564" s="16"/>
      <c r="S564" s="16"/>
    </row>
    <row r="565" ht="12.75" customHeight="1">
      <c r="G565" s="17"/>
      <c r="I565" s="18"/>
      <c r="N565" s="16"/>
      <c r="O565" s="16"/>
      <c r="P565" s="16"/>
      <c r="Q565" s="16"/>
      <c r="R565" s="16"/>
      <c r="S565" s="16"/>
    </row>
    <row r="566" ht="12.75" customHeight="1">
      <c r="G566" s="17"/>
      <c r="I566" s="18"/>
      <c r="N566" s="16"/>
      <c r="O566" s="16"/>
      <c r="P566" s="16"/>
      <c r="Q566" s="16"/>
      <c r="R566" s="16"/>
      <c r="S566" s="16"/>
    </row>
    <row r="567" ht="12.75" customHeight="1">
      <c r="G567" s="17"/>
      <c r="I567" s="18"/>
      <c r="N567" s="16"/>
      <c r="O567" s="16"/>
      <c r="P567" s="16"/>
      <c r="Q567" s="16"/>
      <c r="R567" s="16"/>
      <c r="S567" s="16"/>
    </row>
    <row r="568" ht="12.75" customHeight="1">
      <c r="G568" s="17"/>
      <c r="I568" s="18"/>
      <c r="N568" s="16"/>
      <c r="O568" s="16"/>
      <c r="P568" s="16"/>
      <c r="Q568" s="16"/>
      <c r="R568" s="16"/>
      <c r="S568" s="16"/>
    </row>
    <row r="569" ht="12.75" customHeight="1">
      <c r="G569" s="17"/>
      <c r="I569" s="18"/>
      <c r="N569" s="16"/>
      <c r="O569" s="16"/>
      <c r="P569" s="16"/>
      <c r="Q569" s="16"/>
      <c r="R569" s="16"/>
      <c r="S569" s="16"/>
    </row>
    <row r="570" ht="12.75" customHeight="1">
      <c r="G570" s="17"/>
      <c r="I570" s="18"/>
      <c r="N570" s="16"/>
      <c r="O570" s="16"/>
      <c r="P570" s="16"/>
      <c r="Q570" s="16"/>
      <c r="R570" s="16"/>
      <c r="S570" s="16"/>
    </row>
    <row r="571" ht="12.75" customHeight="1">
      <c r="G571" s="17"/>
      <c r="I571" s="18"/>
      <c r="N571" s="16"/>
      <c r="O571" s="16"/>
      <c r="P571" s="16"/>
      <c r="Q571" s="16"/>
      <c r="R571" s="16"/>
      <c r="S571" s="16"/>
    </row>
    <row r="572" ht="12.75" customHeight="1">
      <c r="G572" s="17"/>
      <c r="I572" s="18"/>
      <c r="N572" s="16"/>
      <c r="O572" s="16"/>
      <c r="P572" s="16"/>
      <c r="Q572" s="16"/>
      <c r="R572" s="16"/>
      <c r="S572" s="16"/>
    </row>
    <row r="573" ht="12.75" customHeight="1">
      <c r="G573" s="17"/>
      <c r="I573" s="18"/>
      <c r="N573" s="16"/>
      <c r="O573" s="16"/>
      <c r="P573" s="16"/>
      <c r="Q573" s="16"/>
      <c r="R573" s="16"/>
      <c r="S573" s="16"/>
    </row>
    <row r="574" ht="12.75" customHeight="1">
      <c r="G574" s="17"/>
      <c r="I574" s="18"/>
      <c r="N574" s="16"/>
      <c r="O574" s="16"/>
      <c r="P574" s="16"/>
      <c r="Q574" s="16"/>
      <c r="R574" s="16"/>
      <c r="S574" s="16"/>
    </row>
    <row r="575" ht="12.75" customHeight="1">
      <c r="G575" s="17"/>
      <c r="I575" s="18"/>
      <c r="N575" s="16"/>
      <c r="O575" s="16"/>
      <c r="P575" s="16"/>
      <c r="Q575" s="16"/>
      <c r="R575" s="16"/>
      <c r="S575" s="16"/>
    </row>
    <row r="576" ht="12.75" customHeight="1">
      <c r="G576" s="17"/>
      <c r="I576" s="18"/>
      <c r="N576" s="16"/>
      <c r="O576" s="16"/>
      <c r="P576" s="16"/>
      <c r="Q576" s="16"/>
      <c r="R576" s="16"/>
      <c r="S576" s="16"/>
    </row>
    <row r="577" ht="12.75" customHeight="1">
      <c r="G577" s="17"/>
      <c r="I577" s="18"/>
      <c r="N577" s="16"/>
      <c r="O577" s="16"/>
      <c r="P577" s="16"/>
      <c r="Q577" s="16"/>
      <c r="R577" s="16"/>
      <c r="S577" s="16"/>
    </row>
    <row r="578" ht="12.75" customHeight="1">
      <c r="G578" s="17"/>
      <c r="I578" s="18"/>
      <c r="N578" s="16"/>
      <c r="O578" s="16"/>
      <c r="P578" s="16"/>
      <c r="Q578" s="16"/>
      <c r="R578" s="16"/>
      <c r="S578" s="16"/>
    </row>
    <row r="579" ht="12.75" customHeight="1">
      <c r="G579" s="17"/>
      <c r="I579" s="18"/>
      <c r="N579" s="16"/>
      <c r="O579" s="16"/>
      <c r="P579" s="16"/>
      <c r="Q579" s="16"/>
      <c r="R579" s="16"/>
      <c r="S579" s="16"/>
    </row>
    <row r="580" ht="12.75" customHeight="1">
      <c r="G580" s="17"/>
      <c r="I580" s="18"/>
      <c r="N580" s="16"/>
      <c r="O580" s="16"/>
      <c r="P580" s="16"/>
      <c r="Q580" s="16"/>
      <c r="R580" s="16"/>
      <c r="S580" s="16"/>
    </row>
    <row r="581" ht="12.75" customHeight="1">
      <c r="G581" s="17"/>
      <c r="I581" s="18"/>
      <c r="N581" s="16"/>
      <c r="O581" s="16"/>
      <c r="P581" s="16"/>
      <c r="Q581" s="16"/>
      <c r="R581" s="16"/>
      <c r="S581" s="16"/>
    </row>
    <row r="582" ht="12.75" customHeight="1">
      <c r="G582" s="17"/>
      <c r="I582" s="18"/>
      <c r="N582" s="16"/>
      <c r="O582" s="16"/>
      <c r="P582" s="16"/>
      <c r="Q582" s="16"/>
      <c r="R582" s="16"/>
      <c r="S582" s="16"/>
    </row>
    <row r="583" ht="12.75" customHeight="1">
      <c r="G583" s="17"/>
      <c r="I583" s="18"/>
      <c r="N583" s="16"/>
      <c r="O583" s="16"/>
      <c r="P583" s="16"/>
      <c r="Q583" s="16"/>
      <c r="R583" s="16"/>
      <c r="S583" s="16"/>
    </row>
    <row r="584" ht="12.75" customHeight="1">
      <c r="G584" s="17"/>
      <c r="I584" s="18"/>
      <c r="N584" s="16"/>
      <c r="O584" s="16"/>
      <c r="P584" s="16"/>
      <c r="Q584" s="16"/>
      <c r="R584" s="16"/>
      <c r="S584" s="16"/>
    </row>
    <row r="585" ht="12.75" customHeight="1">
      <c r="G585" s="17"/>
      <c r="I585" s="18"/>
      <c r="N585" s="16"/>
      <c r="O585" s="16"/>
      <c r="P585" s="16"/>
      <c r="Q585" s="16"/>
      <c r="R585" s="16"/>
      <c r="S585" s="16"/>
    </row>
    <row r="586" ht="12.75" customHeight="1">
      <c r="G586" s="17"/>
      <c r="I586" s="18"/>
      <c r="N586" s="16"/>
      <c r="O586" s="16"/>
      <c r="P586" s="16"/>
      <c r="Q586" s="16"/>
      <c r="R586" s="16"/>
      <c r="S586" s="16"/>
    </row>
    <row r="587" ht="12.75" customHeight="1">
      <c r="G587" s="17"/>
      <c r="I587" s="18"/>
      <c r="N587" s="16"/>
      <c r="O587" s="16"/>
      <c r="P587" s="16"/>
      <c r="Q587" s="16"/>
      <c r="R587" s="16"/>
      <c r="S587" s="16"/>
    </row>
    <row r="588" ht="12.75" customHeight="1">
      <c r="G588" s="17"/>
      <c r="I588" s="18"/>
      <c r="N588" s="16"/>
      <c r="O588" s="16"/>
      <c r="P588" s="16"/>
      <c r="Q588" s="16"/>
      <c r="R588" s="16"/>
      <c r="S588" s="16"/>
    </row>
    <row r="589" ht="12.75" customHeight="1">
      <c r="G589" s="17"/>
      <c r="I589" s="18"/>
      <c r="N589" s="16"/>
      <c r="O589" s="16"/>
      <c r="P589" s="16"/>
      <c r="Q589" s="16"/>
      <c r="R589" s="16"/>
      <c r="S589" s="16"/>
    </row>
    <row r="590" ht="12.75" customHeight="1">
      <c r="G590" s="17"/>
      <c r="I590" s="18"/>
      <c r="N590" s="16"/>
      <c r="O590" s="16"/>
      <c r="P590" s="16"/>
      <c r="Q590" s="16"/>
      <c r="R590" s="16"/>
      <c r="S590" s="16"/>
    </row>
    <row r="591" ht="12.75" customHeight="1">
      <c r="G591" s="17"/>
      <c r="I591" s="18"/>
      <c r="N591" s="16"/>
      <c r="O591" s="16"/>
      <c r="P591" s="16"/>
      <c r="Q591" s="16"/>
      <c r="R591" s="16"/>
      <c r="S591" s="16"/>
    </row>
    <row r="592" ht="12.75" customHeight="1">
      <c r="G592" s="17"/>
      <c r="I592" s="18"/>
      <c r="N592" s="16"/>
      <c r="O592" s="16"/>
      <c r="P592" s="16"/>
      <c r="Q592" s="16"/>
      <c r="R592" s="16"/>
      <c r="S592" s="16"/>
    </row>
    <row r="593" ht="12.75" customHeight="1">
      <c r="G593" s="17"/>
      <c r="I593" s="18"/>
      <c r="N593" s="16"/>
      <c r="O593" s="16"/>
      <c r="P593" s="16"/>
      <c r="Q593" s="16"/>
      <c r="R593" s="16"/>
      <c r="S593" s="16"/>
    </row>
    <row r="594" ht="12.75" customHeight="1">
      <c r="G594" s="17"/>
      <c r="I594" s="18"/>
      <c r="N594" s="16"/>
      <c r="O594" s="16"/>
      <c r="P594" s="16"/>
      <c r="Q594" s="16"/>
      <c r="R594" s="16"/>
      <c r="S594" s="16"/>
    </row>
    <row r="595" ht="12.75" customHeight="1">
      <c r="G595" s="17"/>
      <c r="I595" s="18"/>
      <c r="N595" s="16"/>
      <c r="O595" s="16"/>
      <c r="P595" s="16"/>
      <c r="Q595" s="16"/>
      <c r="R595" s="16"/>
      <c r="S595" s="16"/>
    </row>
    <row r="596" ht="12.75" customHeight="1">
      <c r="G596" s="17"/>
      <c r="I596" s="18"/>
      <c r="N596" s="16"/>
      <c r="O596" s="16"/>
      <c r="P596" s="16"/>
      <c r="Q596" s="16"/>
      <c r="R596" s="16"/>
      <c r="S596" s="16"/>
    </row>
    <row r="597" ht="12.75" customHeight="1">
      <c r="G597" s="17"/>
      <c r="I597" s="18"/>
      <c r="N597" s="16"/>
      <c r="O597" s="16"/>
      <c r="P597" s="16"/>
      <c r="Q597" s="16"/>
      <c r="R597" s="16"/>
      <c r="S597" s="16"/>
    </row>
    <row r="598" ht="12.75" customHeight="1">
      <c r="G598" s="17"/>
      <c r="I598" s="18"/>
      <c r="N598" s="16"/>
      <c r="O598" s="16"/>
      <c r="P598" s="16"/>
      <c r="Q598" s="16"/>
      <c r="R598" s="16"/>
      <c r="S598" s="16"/>
    </row>
    <row r="599" ht="12.75" customHeight="1">
      <c r="G599" s="17"/>
      <c r="I599" s="18"/>
      <c r="N599" s="16"/>
      <c r="O599" s="16"/>
      <c r="P599" s="16"/>
      <c r="Q599" s="16"/>
      <c r="R599" s="16"/>
      <c r="S599" s="16"/>
    </row>
    <row r="600" ht="12.75" customHeight="1">
      <c r="G600" s="17"/>
      <c r="I600" s="18"/>
      <c r="N600" s="16"/>
      <c r="O600" s="16"/>
      <c r="P600" s="16"/>
      <c r="Q600" s="16"/>
      <c r="R600" s="16"/>
      <c r="S600" s="16"/>
    </row>
    <row r="601" ht="12.75" customHeight="1">
      <c r="G601" s="17"/>
      <c r="I601" s="18"/>
      <c r="N601" s="16"/>
      <c r="O601" s="16"/>
      <c r="P601" s="16"/>
      <c r="Q601" s="16"/>
      <c r="R601" s="16"/>
      <c r="S601" s="16"/>
    </row>
    <row r="602" ht="12.75" customHeight="1">
      <c r="G602" s="17"/>
      <c r="I602" s="18"/>
      <c r="N602" s="16"/>
      <c r="O602" s="16"/>
      <c r="P602" s="16"/>
      <c r="Q602" s="16"/>
      <c r="R602" s="16"/>
      <c r="S602" s="16"/>
    </row>
    <row r="603" ht="12.75" customHeight="1">
      <c r="G603" s="17"/>
      <c r="I603" s="18"/>
      <c r="N603" s="16"/>
      <c r="O603" s="16"/>
      <c r="P603" s="16"/>
      <c r="Q603" s="16"/>
      <c r="R603" s="16"/>
      <c r="S603" s="16"/>
    </row>
    <row r="604" ht="12.75" customHeight="1">
      <c r="G604" s="17"/>
      <c r="I604" s="18"/>
      <c r="N604" s="16"/>
      <c r="O604" s="16"/>
      <c r="P604" s="16"/>
      <c r="Q604" s="16"/>
      <c r="R604" s="16"/>
      <c r="S604" s="16"/>
    </row>
    <row r="605" ht="12.75" customHeight="1">
      <c r="G605" s="17"/>
      <c r="I605" s="18"/>
      <c r="N605" s="16"/>
      <c r="O605" s="16"/>
      <c r="P605" s="16"/>
      <c r="Q605" s="16"/>
      <c r="R605" s="16"/>
      <c r="S605" s="16"/>
    </row>
    <row r="606" ht="12.75" customHeight="1">
      <c r="G606" s="17"/>
      <c r="I606" s="18"/>
      <c r="N606" s="16"/>
      <c r="O606" s="16"/>
      <c r="P606" s="16"/>
      <c r="Q606" s="16"/>
      <c r="R606" s="16"/>
      <c r="S606" s="16"/>
    </row>
    <row r="607" ht="12.75" customHeight="1">
      <c r="G607" s="17"/>
      <c r="I607" s="18"/>
      <c r="N607" s="16"/>
      <c r="O607" s="16"/>
      <c r="P607" s="16"/>
      <c r="Q607" s="16"/>
      <c r="R607" s="16"/>
      <c r="S607" s="16"/>
    </row>
    <row r="608" ht="12.75" customHeight="1">
      <c r="G608" s="17"/>
      <c r="I608" s="18"/>
      <c r="N608" s="16"/>
      <c r="O608" s="16"/>
      <c r="P608" s="16"/>
      <c r="Q608" s="16"/>
      <c r="R608" s="16"/>
      <c r="S608" s="16"/>
    </row>
    <row r="609" ht="12.75" customHeight="1">
      <c r="G609" s="17"/>
      <c r="I609" s="18"/>
      <c r="N609" s="16"/>
      <c r="O609" s="16"/>
      <c r="P609" s="16"/>
      <c r="Q609" s="16"/>
      <c r="R609" s="16"/>
      <c r="S609" s="16"/>
    </row>
    <row r="610" ht="12.75" customHeight="1">
      <c r="G610" s="17"/>
      <c r="I610" s="18"/>
      <c r="N610" s="16"/>
      <c r="O610" s="16"/>
      <c r="P610" s="16"/>
      <c r="Q610" s="16"/>
      <c r="R610" s="16"/>
      <c r="S610" s="16"/>
    </row>
    <row r="611" ht="12.75" customHeight="1">
      <c r="G611" s="17"/>
      <c r="I611" s="18"/>
      <c r="N611" s="16"/>
      <c r="O611" s="16"/>
      <c r="P611" s="16"/>
      <c r="Q611" s="16"/>
      <c r="R611" s="16"/>
      <c r="S611" s="16"/>
    </row>
    <row r="612" ht="12.75" customHeight="1">
      <c r="G612" s="17"/>
      <c r="I612" s="18"/>
      <c r="N612" s="16"/>
      <c r="O612" s="16"/>
      <c r="P612" s="16"/>
      <c r="Q612" s="16"/>
      <c r="R612" s="16"/>
      <c r="S612" s="16"/>
    </row>
    <row r="613" ht="12.75" customHeight="1">
      <c r="G613" s="17"/>
      <c r="I613" s="18"/>
      <c r="N613" s="16"/>
      <c r="O613" s="16"/>
      <c r="P613" s="16"/>
      <c r="Q613" s="16"/>
      <c r="R613" s="16"/>
      <c r="S613" s="16"/>
    </row>
    <row r="614" ht="12.75" customHeight="1">
      <c r="G614" s="17"/>
      <c r="I614" s="18"/>
      <c r="N614" s="16"/>
      <c r="O614" s="16"/>
      <c r="P614" s="16"/>
      <c r="Q614" s="16"/>
      <c r="R614" s="16"/>
      <c r="S614" s="16"/>
    </row>
    <row r="615" ht="12.75" customHeight="1">
      <c r="G615" s="17"/>
      <c r="I615" s="18"/>
      <c r="N615" s="16"/>
      <c r="O615" s="16"/>
      <c r="P615" s="16"/>
      <c r="Q615" s="16"/>
      <c r="R615" s="16"/>
      <c r="S615" s="16"/>
    </row>
    <row r="616" ht="12.75" customHeight="1">
      <c r="G616" s="17"/>
      <c r="I616" s="18"/>
      <c r="N616" s="16"/>
      <c r="O616" s="16"/>
      <c r="P616" s="16"/>
      <c r="Q616" s="16"/>
      <c r="R616" s="16"/>
      <c r="S616" s="16"/>
    </row>
    <row r="617" ht="12.75" customHeight="1">
      <c r="G617" s="17"/>
      <c r="I617" s="18"/>
      <c r="N617" s="16"/>
      <c r="O617" s="16"/>
      <c r="P617" s="16"/>
      <c r="Q617" s="16"/>
      <c r="R617" s="16"/>
      <c r="S617" s="16"/>
    </row>
    <row r="618" ht="12.75" customHeight="1">
      <c r="G618" s="17"/>
      <c r="I618" s="18"/>
      <c r="N618" s="16"/>
      <c r="O618" s="16"/>
      <c r="P618" s="16"/>
      <c r="Q618" s="16"/>
      <c r="R618" s="16"/>
      <c r="S618" s="16"/>
    </row>
    <row r="619" ht="12.75" customHeight="1">
      <c r="G619" s="17"/>
      <c r="I619" s="18"/>
      <c r="N619" s="16"/>
      <c r="O619" s="16"/>
      <c r="P619" s="16"/>
      <c r="Q619" s="16"/>
      <c r="R619" s="16"/>
      <c r="S619" s="16"/>
    </row>
    <row r="620" ht="12.75" customHeight="1">
      <c r="G620" s="17"/>
      <c r="I620" s="18"/>
      <c r="N620" s="16"/>
      <c r="O620" s="16"/>
      <c r="P620" s="16"/>
      <c r="Q620" s="16"/>
      <c r="R620" s="16"/>
      <c r="S620" s="16"/>
    </row>
    <row r="621" ht="12.75" customHeight="1">
      <c r="G621" s="17"/>
      <c r="I621" s="18"/>
      <c r="N621" s="16"/>
      <c r="O621" s="16"/>
      <c r="P621" s="16"/>
      <c r="Q621" s="16"/>
      <c r="R621" s="16"/>
      <c r="S621" s="16"/>
    </row>
    <row r="622" ht="12.75" customHeight="1">
      <c r="G622" s="17"/>
      <c r="I622" s="18"/>
      <c r="N622" s="16"/>
      <c r="O622" s="16"/>
      <c r="P622" s="16"/>
      <c r="Q622" s="16"/>
      <c r="R622" s="16"/>
      <c r="S622" s="16"/>
    </row>
    <row r="623" ht="12.75" customHeight="1">
      <c r="G623" s="17"/>
      <c r="I623" s="18"/>
      <c r="N623" s="16"/>
      <c r="O623" s="16"/>
      <c r="P623" s="16"/>
      <c r="Q623" s="16"/>
      <c r="R623" s="16"/>
      <c r="S623" s="16"/>
    </row>
    <row r="624" ht="12.75" customHeight="1">
      <c r="G624" s="17"/>
      <c r="I624" s="18"/>
      <c r="N624" s="16"/>
      <c r="O624" s="16"/>
      <c r="P624" s="16"/>
      <c r="Q624" s="16"/>
      <c r="R624" s="16"/>
      <c r="S624" s="16"/>
    </row>
    <row r="625" ht="12.75" customHeight="1">
      <c r="G625" s="17"/>
      <c r="I625" s="18"/>
      <c r="N625" s="16"/>
      <c r="O625" s="16"/>
      <c r="P625" s="16"/>
      <c r="Q625" s="16"/>
      <c r="R625" s="16"/>
      <c r="S625" s="16"/>
    </row>
    <row r="626" ht="12.75" customHeight="1">
      <c r="G626" s="17"/>
      <c r="I626" s="18"/>
      <c r="N626" s="16"/>
      <c r="O626" s="16"/>
      <c r="P626" s="16"/>
      <c r="Q626" s="16"/>
      <c r="R626" s="16"/>
      <c r="S626" s="16"/>
    </row>
    <row r="627" ht="12.75" customHeight="1">
      <c r="G627" s="17"/>
      <c r="I627" s="18"/>
      <c r="N627" s="16"/>
      <c r="O627" s="16"/>
      <c r="P627" s="16"/>
      <c r="Q627" s="16"/>
      <c r="R627" s="16"/>
      <c r="S627" s="16"/>
    </row>
    <row r="628" ht="12.75" customHeight="1">
      <c r="G628" s="17"/>
      <c r="I628" s="18"/>
      <c r="N628" s="16"/>
      <c r="O628" s="16"/>
      <c r="P628" s="16"/>
      <c r="Q628" s="16"/>
      <c r="R628" s="16"/>
      <c r="S628" s="16"/>
    </row>
    <row r="629" ht="12.75" customHeight="1">
      <c r="G629" s="17"/>
      <c r="I629" s="18"/>
      <c r="N629" s="16"/>
      <c r="O629" s="16"/>
      <c r="P629" s="16"/>
      <c r="Q629" s="16"/>
      <c r="R629" s="16"/>
      <c r="S629" s="16"/>
    </row>
    <row r="630" ht="12.75" customHeight="1">
      <c r="G630" s="17"/>
      <c r="I630" s="18"/>
      <c r="N630" s="16"/>
      <c r="O630" s="16"/>
      <c r="P630" s="16"/>
      <c r="Q630" s="16"/>
      <c r="R630" s="16"/>
      <c r="S630" s="16"/>
    </row>
    <row r="631" ht="12.75" customHeight="1">
      <c r="G631" s="17"/>
      <c r="I631" s="18"/>
      <c r="N631" s="16"/>
      <c r="O631" s="16"/>
      <c r="P631" s="16"/>
      <c r="Q631" s="16"/>
      <c r="R631" s="16"/>
      <c r="S631" s="16"/>
    </row>
    <row r="632" ht="12.75" customHeight="1">
      <c r="G632" s="17"/>
      <c r="I632" s="18"/>
      <c r="N632" s="16"/>
      <c r="O632" s="16"/>
      <c r="P632" s="16"/>
      <c r="Q632" s="16"/>
      <c r="R632" s="16"/>
      <c r="S632" s="16"/>
    </row>
    <row r="633" ht="12.75" customHeight="1">
      <c r="G633" s="17"/>
      <c r="I633" s="18"/>
      <c r="N633" s="16"/>
      <c r="O633" s="16"/>
      <c r="P633" s="16"/>
      <c r="Q633" s="16"/>
      <c r="R633" s="16"/>
      <c r="S633" s="16"/>
    </row>
    <row r="634" ht="12.75" customHeight="1">
      <c r="G634" s="17"/>
      <c r="I634" s="18"/>
      <c r="N634" s="16"/>
      <c r="O634" s="16"/>
      <c r="P634" s="16"/>
      <c r="Q634" s="16"/>
      <c r="R634" s="16"/>
      <c r="S634" s="16"/>
    </row>
    <row r="635" ht="12.75" customHeight="1">
      <c r="G635" s="17"/>
      <c r="I635" s="18"/>
      <c r="N635" s="16"/>
      <c r="O635" s="16"/>
      <c r="P635" s="16"/>
      <c r="Q635" s="16"/>
      <c r="R635" s="16"/>
      <c r="S635" s="16"/>
    </row>
    <row r="636" ht="12.75" customHeight="1">
      <c r="G636" s="17"/>
      <c r="I636" s="18"/>
      <c r="N636" s="16"/>
      <c r="O636" s="16"/>
      <c r="P636" s="16"/>
      <c r="Q636" s="16"/>
      <c r="R636" s="16"/>
      <c r="S636" s="16"/>
    </row>
    <row r="637" ht="12.75" customHeight="1">
      <c r="G637" s="17"/>
      <c r="I637" s="18"/>
      <c r="N637" s="16"/>
      <c r="O637" s="16"/>
      <c r="P637" s="16"/>
      <c r="Q637" s="16"/>
      <c r="R637" s="16"/>
      <c r="S637" s="16"/>
    </row>
    <row r="638" ht="12.75" customHeight="1">
      <c r="G638" s="17"/>
      <c r="I638" s="18"/>
      <c r="N638" s="16"/>
      <c r="O638" s="16"/>
      <c r="P638" s="16"/>
      <c r="Q638" s="16"/>
      <c r="R638" s="16"/>
      <c r="S638" s="16"/>
    </row>
    <row r="639" ht="12.75" customHeight="1">
      <c r="G639" s="17"/>
      <c r="I639" s="18"/>
      <c r="N639" s="16"/>
      <c r="O639" s="16"/>
      <c r="P639" s="16"/>
      <c r="Q639" s="16"/>
      <c r="R639" s="16"/>
      <c r="S639" s="16"/>
    </row>
    <row r="640" ht="12.75" customHeight="1">
      <c r="G640" s="17"/>
      <c r="I640" s="18"/>
      <c r="N640" s="16"/>
      <c r="O640" s="16"/>
      <c r="P640" s="16"/>
      <c r="Q640" s="16"/>
      <c r="R640" s="16"/>
      <c r="S640" s="16"/>
    </row>
    <row r="641" ht="12.75" customHeight="1">
      <c r="G641" s="17"/>
      <c r="I641" s="18"/>
      <c r="N641" s="16"/>
      <c r="O641" s="16"/>
      <c r="P641" s="16"/>
      <c r="Q641" s="16"/>
      <c r="R641" s="16"/>
      <c r="S641" s="16"/>
    </row>
    <row r="642" ht="12.75" customHeight="1">
      <c r="G642" s="17"/>
      <c r="I642" s="18"/>
      <c r="N642" s="16"/>
      <c r="O642" s="16"/>
      <c r="P642" s="16"/>
      <c r="Q642" s="16"/>
      <c r="R642" s="16"/>
      <c r="S642" s="16"/>
    </row>
    <row r="643" ht="12.75" customHeight="1">
      <c r="G643" s="17"/>
      <c r="I643" s="18"/>
      <c r="N643" s="16"/>
      <c r="O643" s="16"/>
      <c r="P643" s="16"/>
      <c r="Q643" s="16"/>
      <c r="R643" s="16"/>
      <c r="S643" s="16"/>
    </row>
    <row r="644" ht="12.75" customHeight="1">
      <c r="G644" s="17"/>
      <c r="I644" s="18"/>
      <c r="N644" s="16"/>
      <c r="O644" s="16"/>
      <c r="P644" s="16"/>
      <c r="Q644" s="16"/>
      <c r="R644" s="16"/>
      <c r="S644" s="16"/>
    </row>
    <row r="645" ht="12.75" customHeight="1">
      <c r="G645" s="17"/>
      <c r="I645" s="18"/>
      <c r="N645" s="16"/>
      <c r="O645" s="16"/>
      <c r="P645" s="16"/>
      <c r="Q645" s="16"/>
      <c r="R645" s="16"/>
      <c r="S645" s="16"/>
    </row>
    <row r="646" ht="12.75" customHeight="1">
      <c r="G646" s="17"/>
      <c r="I646" s="18"/>
      <c r="N646" s="16"/>
      <c r="O646" s="16"/>
      <c r="P646" s="16"/>
      <c r="Q646" s="16"/>
      <c r="R646" s="16"/>
      <c r="S646" s="16"/>
    </row>
    <row r="647" ht="12.75" customHeight="1">
      <c r="G647" s="17"/>
      <c r="I647" s="18"/>
      <c r="N647" s="16"/>
      <c r="O647" s="16"/>
      <c r="P647" s="16"/>
      <c r="Q647" s="16"/>
      <c r="R647" s="16"/>
      <c r="S647" s="16"/>
    </row>
    <row r="648" ht="12.75" customHeight="1">
      <c r="G648" s="17"/>
      <c r="I648" s="18"/>
      <c r="N648" s="16"/>
      <c r="O648" s="16"/>
      <c r="P648" s="16"/>
      <c r="Q648" s="16"/>
      <c r="R648" s="16"/>
      <c r="S648" s="16"/>
    </row>
    <row r="649" ht="12.75" customHeight="1">
      <c r="G649" s="17"/>
      <c r="I649" s="18"/>
      <c r="N649" s="16"/>
      <c r="O649" s="16"/>
      <c r="P649" s="16"/>
      <c r="Q649" s="16"/>
      <c r="R649" s="16"/>
      <c r="S649" s="16"/>
    </row>
    <row r="650" ht="12.75" customHeight="1">
      <c r="G650" s="17"/>
      <c r="I650" s="18"/>
      <c r="N650" s="16"/>
      <c r="O650" s="16"/>
      <c r="P650" s="16"/>
      <c r="Q650" s="16"/>
      <c r="R650" s="16"/>
      <c r="S650" s="16"/>
    </row>
    <row r="651" ht="12.75" customHeight="1">
      <c r="G651" s="17"/>
      <c r="I651" s="18"/>
      <c r="N651" s="16"/>
      <c r="O651" s="16"/>
      <c r="P651" s="16"/>
      <c r="Q651" s="16"/>
      <c r="R651" s="16"/>
      <c r="S651" s="16"/>
    </row>
    <row r="652" ht="12.75" customHeight="1">
      <c r="G652" s="17"/>
      <c r="I652" s="18"/>
      <c r="N652" s="16"/>
      <c r="O652" s="16"/>
      <c r="P652" s="16"/>
      <c r="Q652" s="16"/>
      <c r="R652" s="16"/>
      <c r="S652" s="16"/>
    </row>
    <row r="653" ht="12.75" customHeight="1">
      <c r="G653" s="17"/>
      <c r="I653" s="18"/>
      <c r="N653" s="16"/>
      <c r="O653" s="16"/>
      <c r="P653" s="16"/>
      <c r="Q653" s="16"/>
      <c r="R653" s="16"/>
      <c r="S653" s="16"/>
    </row>
    <row r="654" ht="12.75" customHeight="1">
      <c r="G654" s="17"/>
      <c r="I654" s="18"/>
      <c r="N654" s="16"/>
      <c r="O654" s="16"/>
      <c r="P654" s="16"/>
      <c r="Q654" s="16"/>
      <c r="R654" s="16"/>
      <c r="S654" s="16"/>
    </row>
    <row r="655" ht="12.75" customHeight="1">
      <c r="G655" s="17"/>
      <c r="I655" s="18"/>
      <c r="N655" s="16"/>
      <c r="O655" s="16"/>
      <c r="P655" s="16"/>
      <c r="Q655" s="16"/>
      <c r="R655" s="16"/>
      <c r="S655" s="16"/>
    </row>
    <row r="656" ht="12.75" customHeight="1">
      <c r="G656" s="17"/>
      <c r="I656" s="18"/>
      <c r="N656" s="16"/>
      <c r="O656" s="16"/>
      <c r="P656" s="16"/>
      <c r="Q656" s="16"/>
      <c r="R656" s="16"/>
      <c r="S656" s="16"/>
    </row>
    <row r="657" ht="12.75" customHeight="1">
      <c r="G657" s="17"/>
      <c r="I657" s="18"/>
      <c r="N657" s="16"/>
      <c r="O657" s="16"/>
      <c r="P657" s="16"/>
      <c r="Q657" s="16"/>
      <c r="R657" s="16"/>
      <c r="S657" s="16"/>
    </row>
    <row r="658" ht="12.75" customHeight="1">
      <c r="G658" s="17"/>
      <c r="I658" s="18"/>
      <c r="N658" s="16"/>
      <c r="O658" s="16"/>
      <c r="P658" s="16"/>
      <c r="Q658" s="16"/>
      <c r="R658" s="16"/>
      <c r="S658" s="16"/>
    </row>
    <row r="659" ht="12.75" customHeight="1">
      <c r="G659" s="17"/>
      <c r="I659" s="18"/>
      <c r="N659" s="16"/>
      <c r="O659" s="16"/>
      <c r="P659" s="16"/>
      <c r="Q659" s="16"/>
      <c r="R659" s="16"/>
      <c r="S659" s="16"/>
    </row>
    <row r="660" ht="12.75" customHeight="1">
      <c r="G660" s="17"/>
      <c r="I660" s="18"/>
      <c r="N660" s="16"/>
      <c r="O660" s="16"/>
      <c r="P660" s="16"/>
      <c r="Q660" s="16"/>
      <c r="R660" s="16"/>
      <c r="S660" s="16"/>
    </row>
    <row r="661" ht="12.75" customHeight="1">
      <c r="G661" s="17"/>
      <c r="I661" s="18"/>
      <c r="N661" s="16"/>
      <c r="O661" s="16"/>
      <c r="P661" s="16"/>
      <c r="Q661" s="16"/>
      <c r="R661" s="16"/>
      <c r="S661" s="16"/>
    </row>
    <row r="662" ht="12.75" customHeight="1">
      <c r="G662" s="17"/>
      <c r="I662" s="18"/>
      <c r="N662" s="16"/>
      <c r="O662" s="16"/>
      <c r="P662" s="16"/>
      <c r="Q662" s="16"/>
      <c r="R662" s="16"/>
      <c r="S662" s="16"/>
    </row>
    <row r="663" ht="12.75" customHeight="1">
      <c r="G663" s="17"/>
      <c r="I663" s="18"/>
      <c r="N663" s="16"/>
      <c r="O663" s="16"/>
      <c r="P663" s="16"/>
      <c r="Q663" s="16"/>
      <c r="R663" s="16"/>
      <c r="S663" s="16"/>
    </row>
    <row r="664" ht="12.75" customHeight="1">
      <c r="G664" s="17"/>
      <c r="I664" s="18"/>
      <c r="N664" s="16"/>
      <c r="O664" s="16"/>
      <c r="P664" s="16"/>
      <c r="Q664" s="16"/>
      <c r="R664" s="16"/>
      <c r="S664" s="16"/>
    </row>
    <row r="665" ht="12.75" customHeight="1">
      <c r="G665" s="17"/>
      <c r="I665" s="18"/>
      <c r="N665" s="16"/>
      <c r="O665" s="16"/>
      <c r="P665" s="16"/>
      <c r="Q665" s="16"/>
      <c r="R665" s="16"/>
      <c r="S665" s="16"/>
    </row>
    <row r="666" ht="12.75" customHeight="1">
      <c r="G666" s="17"/>
      <c r="I666" s="18"/>
      <c r="N666" s="16"/>
      <c r="O666" s="16"/>
      <c r="P666" s="16"/>
      <c r="Q666" s="16"/>
      <c r="R666" s="16"/>
      <c r="S666" s="16"/>
    </row>
    <row r="667" ht="12.75" customHeight="1">
      <c r="G667" s="17"/>
      <c r="I667" s="18"/>
      <c r="N667" s="16"/>
      <c r="O667" s="16"/>
      <c r="P667" s="16"/>
      <c r="Q667" s="16"/>
      <c r="R667" s="16"/>
      <c r="S667" s="16"/>
    </row>
    <row r="668" ht="12.75" customHeight="1">
      <c r="G668" s="17"/>
      <c r="I668" s="18"/>
      <c r="N668" s="16"/>
      <c r="O668" s="16"/>
      <c r="P668" s="16"/>
      <c r="Q668" s="16"/>
      <c r="R668" s="16"/>
      <c r="S668" s="16"/>
    </row>
    <row r="669" ht="12.75" customHeight="1">
      <c r="G669" s="17"/>
      <c r="I669" s="18"/>
      <c r="N669" s="16"/>
      <c r="O669" s="16"/>
      <c r="P669" s="16"/>
      <c r="Q669" s="16"/>
      <c r="R669" s="16"/>
      <c r="S669" s="16"/>
    </row>
    <row r="670" ht="12.75" customHeight="1">
      <c r="G670" s="17"/>
      <c r="I670" s="18"/>
      <c r="N670" s="16"/>
      <c r="O670" s="16"/>
      <c r="P670" s="16"/>
      <c r="Q670" s="16"/>
      <c r="R670" s="16"/>
      <c r="S670" s="16"/>
    </row>
    <row r="671" ht="12.75" customHeight="1">
      <c r="G671" s="17"/>
      <c r="I671" s="18"/>
      <c r="N671" s="16"/>
      <c r="O671" s="16"/>
      <c r="P671" s="16"/>
      <c r="Q671" s="16"/>
      <c r="R671" s="16"/>
      <c r="S671" s="16"/>
    </row>
    <row r="672" ht="12.75" customHeight="1">
      <c r="G672" s="17"/>
      <c r="I672" s="18"/>
      <c r="N672" s="16"/>
      <c r="O672" s="16"/>
      <c r="P672" s="16"/>
      <c r="Q672" s="16"/>
      <c r="R672" s="16"/>
      <c r="S672" s="16"/>
    </row>
    <row r="673" ht="12.75" customHeight="1">
      <c r="G673" s="17"/>
      <c r="I673" s="18"/>
      <c r="N673" s="16"/>
      <c r="O673" s="16"/>
      <c r="P673" s="16"/>
      <c r="Q673" s="16"/>
      <c r="R673" s="16"/>
      <c r="S673" s="16"/>
    </row>
    <row r="674" ht="12.75" customHeight="1">
      <c r="G674" s="17"/>
      <c r="I674" s="18"/>
      <c r="N674" s="16"/>
      <c r="O674" s="16"/>
      <c r="P674" s="16"/>
      <c r="Q674" s="16"/>
      <c r="R674" s="16"/>
      <c r="S674" s="16"/>
    </row>
    <row r="675" ht="12.75" customHeight="1">
      <c r="G675" s="17"/>
      <c r="I675" s="18"/>
      <c r="N675" s="16"/>
      <c r="O675" s="16"/>
      <c r="P675" s="16"/>
      <c r="Q675" s="16"/>
      <c r="R675" s="16"/>
      <c r="S675" s="16"/>
    </row>
    <row r="676" ht="12.75" customHeight="1">
      <c r="G676" s="17"/>
      <c r="I676" s="18"/>
      <c r="N676" s="16"/>
      <c r="O676" s="16"/>
      <c r="P676" s="16"/>
      <c r="Q676" s="16"/>
      <c r="R676" s="16"/>
      <c r="S676" s="16"/>
    </row>
    <row r="677" ht="12.75" customHeight="1">
      <c r="G677" s="17"/>
      <c r="I677" s="18"/>
      <c r="N677" s="16"/>
      <c r="O677" s="16"/>
      <c r="P677" s="16"/>
      <c r="Q677" s="16"/>
      <c r="R677" s="16"/>
      <c r="S677" s="16"/>
    </row>
    <row r="678" ht="12.75" customHeight="1">
      <c r="G678" s="17"/>
      <c r="I678" s="18"/>
      <c r="N678" s="16"/>
      <c r="O678" s="16"/>
      <c r="P678" s="16"/>
      <c r="Q678" s="16"/>
      <c r="R678" s="16"/>
      <c r="S678" s="16"/>
    </row>
    <row r="679" ht="12.75" customHeight="1">
      <c r="G679" s="17"/>
      <c r="I679" s="18"/>
      <c r="N679" s="16"/>
      <c r="O679" s="16"/>
      <c r="P679" s="16"/>
      <c r="Q679" s="16"/>
      <c r="R679" s="16"/>
      <c r="S679" s="16"/>
    </row>
    <row r="680" ht="12.75" customHeight="1">
      <c r="G680" s="17"/>
      <c r="I680" s="18"/>
      <c r="N680" s="16"/>
      <c r="O680" s="16"/>
      <c r="P680" s="16"/>
      <c r="Q680" s="16"/>
      <c r="R680" s="16"/>
      <c r="S680" s="16"/>
    </row>
    <row r="681" ht="12.75" customHeight="1">
      <c r="G681" s="17"/>
      <c r="I681" s="18"/>
      <c r="N681" s="16"/>
      <c r="O681" s="16"/>
      <c r="P681" s="16"/>
      <c r="Q681" s="16"/>
      <c r="R681" s="16"/>
      <c r="S681" s="16"/>
    </row>
    <row r="682" ht="12.75" customHeight="1">
      <c r="G682" s="17"/>
      <c r="I682" s="18"/>
      <c r="N682" s="16"/>
      <c r="O682" s="16"/>
      <c r="P682" s="16"/>
      <c r="Q682" s="16"/>
      <c r="R682" s="16"/>
      <c r="S682" s="16"/>
    </row>
    <row r="683" ht="12.75" customHeight="1">
      <c r="G683" s="17"/>
      <c r="I683" s="18"/>
      <c r="N683" s="16"/>
      <c r="O683" s="16"/>
      <c r="P683" s="16"/>
      <c r="Q683" s="16"/>
      <c r="R683" s="16"/>
      <c r="S683" s="16"/>
    </row>
    <row r="684" ht="12.75" customHeight="1">
      <c r="G684" s="17"/>
      <c r="I684" s="18"/>
      <c r="N684" s="16"/>
      <c r="O684" s="16"/>
      <c r="P684" s="16"/>
      <c r="Q684" s="16"/>
      <c r="R684" s="16"/>
      <c r="S684" s="16"/>
    </row>
    <row r="685" ht="12.75" customHeight="1">
      <c r="G685" s="17"/>
      <c r="I685" s="18"/>
      <c r="N685" s="16"/>
      <c r="O685" s="16"/>
      <c r="P685" s="16"/>
      <c r="Q685" s="16"/>
      <c r="R685" s="16"/>
      <c r="S685" s="16"/>
    </row>
    <row r="686" ht="12.75" customHeight="1">
      <c r="G686" s="17"/>
      <c r="I686" s="18"/>
      <c r="N686" s="16"/>
      <c r="O686" s="16"/>
      <c r="P686" s="16"/>
      <c r="Q686" s="16"/>
      <c r="R686" s="16"/>
      <c r="S686" s="16"/>
    </row>
    <row r="687" ht="12.75" customHeight="1">
      <c r="G687" s="17"/>
      <c r="I687" s="18"/>
      <c r="N687" s="16"/>
      <c r="O687" s="16"/>
      <c r="P687" s="16"/>
      <c r="Q687" s="16"/>
      <c r="R687" s="16"/>
      <c r="S687" s="16"/>
    </row>
    <row r="688" ht="12.75" customHeight="1">
      <c r="G688" s="17"/>
      <c r="I688" s="18"/>
      <c r="N688" s="16"/>
      <c r="O688" s="16"/>
      <c r="P688" s="16"/>
      <c r="Q688" s="16"/>
      <c r="R688" s="16"/>
      <c r="S688" s="16"/>
    </row>
    <row r="689" ht="12.75" customHeight="1">
      <c r="G689" s="17"/>
      <c r="I689" s="18"/>
      <c r="N689" s="16"/>
      <c r="O689" s="16"/>
      <c r="P689" s="16"/>
      <c r="Q689" s="16"/>
      <c r="R689" s="16"/>
      <c r="S689" s="16"/>
    </row>
    <row r="690" ht="12.75" customHeight="1">
      <c r="G690" s="17"/>
      <c r="I690" s="18"/>
      <c r="N690" s="16"/>
      <c r="O690" s="16"/>
      <c r="P690" s="16"/>
      <c r="Q690" s="16"/>
      <c r="R690" s="16"/>
      <c r="S690" s="16"/>
    </row>
    <row r="691" ht="12.75" customHeight="1">
      <c r="G691" s="17"/>
      <c r="I691" s="18"/>
      <c r="N691" s="16"/>
      <c r="O691" s="16"/>
      <c r="P691" s="16"/>
      <c r="Q691" s="16"/>
      <c r="R691" s="16"/>
      <c r="S691" s="16"/>
    </row>
    <row r="692" ht="12.75" customHeight="1">
      <c r="G692" s="17"/>
      <c r="I692" s="18"/>
      <c r="N692" s="16"/>
      <c r="O692" s="16"/>
      <c r="P692" s="16"/>
      <c r="Q692" s="16"/>
      <c r="R692" s="16"/>
      <c r="S692" s="16"/>
    </row>
    <row r="693" ht="12.75" customHeight="1">
      <c r="G693" s="17"/>
      <c r="I693" s="18"/>
      <c r="N693" s="16"/>
      <c r="O693" s="16"/>
      <c r="P693" s="16"/>
      <c r="Q693" s="16"/>
      <c r="R693" s="16"/>
      <c r="S693" s="16"/>
    </row>
    <row r="694" ht="12.75" customHeight="1">
      <c r="G694" s="17"/>
      <c r="I694" s="18"/>
      <c r="N694" s="16"/>
      <c r="O694" s="16"/>
      <c r="P694" s="16"/>
      <c r="Q694" s="16"/>
      <c r="R694" s="16"/>
      <c r="S694" s="16"/>
    </row>
    <row r="695" ht="12.75" customHeight="1">
      <c r="G695" s="17"/>
      <c r="I695" s="18"/>
      <c r="N695" s="16"/>
      <c r="O695" s="16"/>
      <c r="P695" s="16"/>
      <c r="Q695" s="16"/>
      <c r="R695" s="16"/>
      <c r="S695" s="16"/>
    </row>
    <row r="696" ht="12.75" customHeight="1">
      <c r="G696" s="17"/>
      <c r="I696" s="18"/>
      <c r="N696" s="16"/>
      <c r="O696" s="16"/>
      <c r="P696" s="16"/>
      <c r="Q696" s="16"/>
      <c r="R696" s="16"/>
      <c r="S696" s="16"/>
    </row>
    <row r="697" ht="12.75" customHeight="1">
      <c r="G697" s="17"/>
      <c r="I697" s="18"/>
      <c r="N697" s="16"/>
      <c r="O697" s="16"/>
      <c r="P697" s="16"/>
      <c r="Q697" s="16"/>
      <c r="R697" s="16"/>
      <c r="S697" s="16"/>
    </row>
    <row r="698" ht="12.75" customHeight="1">
      <c r="G698" s="17"/>
      <c r="I698" s="18"/>
      <c r="N698" s="16"/>
      <c r="O698" s="16"/>
      <c r="P698" s="16"/>
      <c r="Q698" s="16"/>
      <c r="R698" s="16"/>
      <c r="S698" s="16"/>
    </row>
    <row r="699" ht="12.75" customHeight="1">
      <c r="G699" s="17"/>
      <c r="I699" s="18"/>
      <c r="N699" s="16"/>
      <c r="O699" s="16"/>
      <c r="P699" s="16"/>
      <c r="Q699" s="16"/>
      <c r="R699" s="16"/>
      <c r="S699" s="16"/>
    </row>
    <row r="700" ht="12.75" customHeight="1">
      <c r="G700" s="17"/>
      <c r="I700" s="18"/>
      <c r="N700" s="16"/>
      <c r="O700" s="16"/>
      <c r="P700" s="16"/>
      <c r="Q700" s="16"/>
      <c r="R700" s="16"/>
      <c r="S700" s="16"/>
    </row>
    <row r="701" ht="12.75" customHeight="1">
      <c r="G701" s="17"/>
      <c r="I701" s="18"/>
      <c r="N701" s="16"/>
      <c r="O701" s="16"/>
      <c r="P701" s="16"/>
      <c r="Q701" s="16"/>
      <c r="R701" s="16"/>
      <c r="S701" s="16"/>
    </row>
    <row r="702" ht="12.75" customHeight="1">
      <c r="G702" s="17"/>
      <c r="I702" s="18"/>
      <c r="N702" s="16"/>
      <c r="O702" s="16"/>
      <c r="P702" s="16"/>
      <c r="Q702" s="16"/>
      <c r="R702" s="16"/>
      <c r="S702" s="16"/>
    </row>
    <row r="703" ht="12.75" customHeight="1">
      <c r="G703" s="17"/>
      <c r="I703" s="18"/>
      <c r="N703" s="16"/>
      <c r="O703" s="16"/>
      <c r="P703" s="16"/>
      <c r="Q703" s="16"/>
      <c r="R703" s="16"/>
      <c r="S703" s="16"/>
    </row>
    <row r="704" ht="12.75" customHeight="1">
      <c r="G704" s="17"/>
      <c r="I704" s="18"/>
      <c r="N704" s="16"/>
      <c r="O704" s="16"/>
      <c r="P704" s="16"/>
      <c r="Q704" s="16"/>
      <c r="R704" s="16"/>
      <c r="S704" s="16"/>
    </row>
    <row r="705" ht="12.75" customHeight="1">
      <c r="G705" s="17"/>
      <c r="I705" s="18"/>
      <c r="N705" s="16"/>
      <c r="O705" s="16"/>
      <c r="P705" s="16"/>
      <c r="Q705" s="16"/>
      <c r="R705" s="16"/>
      <c r="S705" s="16"/>
    </row>
    <row r="706" ht="12.75" customHeight="1">
      <c r="G706" s="17"/>
      <c r="I706" s="18"/>
      <c r="N706" s="16"/>
      <c r="O706" s="16"/>
      <c r="P706" s="16"/>
      <c r="Q706" s="16"/>
      <c r="R706" s="16"/>
      <c r="S706" s="16"/>
    </row>
    <row r="707" ht="12.75" customHeight="1">
      <c r="G707" s="17"/>
      <c r="I707" s="18"/>
      <c r="N707" s="16"/>
      <c r="O707" s="16"/>
      <c r="P707" s="16"/>
      <c r="Q707" s="16"/>
      <c r="R707" s="16"/>
      <c r="S707" s="16"/>
    </row>
    <row r="708" ht="12.75" customHeight="1">
      <c r="G708" s="17"/>
      <c r="I708" s="18"/>
      <c r="N708" s="16"/>
      <c r="O708" s="16"/>
      <c r="P708" s="16"/>
      <c r="Q708" s="16"/>
      <c r="R708" s="16"/>
      <c r="S708" s="16"/>
    </row>
    <row r="709" ht="12.75" customHeight="1">
      <c r="G709" s="17"/>
      <c r="I709" s="18"/>
      <c r="N709" s="16"/>
      <c r="O709" s="16"/>
      <c r="P709" s="16"/>
      <c r="Q709" s="16"/>
      <c r="R709" s="16"/>
      <c r="S709" s="16"/>
    </row>
    <row r="710" ht="12.75" customHeight="1">
      <c r="G710" s="17"/>
      <c r="I710" s="18"/>
      <c r="N710" s="16"/>
      <c r="O710" s="16"/>
      <c r="P710" s="16"/>
      <c r="Q710" s="16"/>
      <c r="R710" s="16"/>
      <c r="S710" s="16"/>
    </row>
    <row r="711" ht="12.75" customHeight="1">
      <c r="G711" s="17"/>
      <c r="I711" s="18"/>
      <c r="N711" s="16"/>
      <c r="O711" s="16"/>
      <c r="P711" s="16"/>
      <c r="Q711" s="16"/>
      <c r="R711" s="16"/>
      <c r="S711" s="16"/>
    </row>
    <row r="712" ht="12.75" customHeight="1">
      <c r="G712" s="17"/>
      <c r="I712" s="18"/>
      <c r="N712" s="16"/>
      <c r="O712" s="16"/>
      <c r="P712" s="16"/>
      <c r="Q712" s="16"/>
      <c r="R712" s="16"/>
      <c r="S712" s="16"/>
    </row>
    <row r="713" ht="12.75" customHeight="1">
      <c r="G713" s="17"/>
      <c r="I713" s="18"/>
      <c r="N713" s="16"/>
      <c r="O713" s="16"/>
      <c r="P713" s="16"/>
      <c r="Q713" s="16"/>
      <c r="R713" s="16"/>
      <c r="S713" s="16"/>
    </row>
    <row r="714" ht="12.75" customHeight="1">
      <c r="G714" s="17"/>
      <c r="I714" s="18"/>
      <c r="N714" s="16"/>
      <c r="O714" s="16"/>
      <c r="P714" s="16"/>
      <c r="Q714" s="16"/>
      <c r="R714" s="16"/>
      <c r="S714" s="16"/>
    </row>
    <row r="715" ht="12.75" customHeight="1">
      <c r="G715" s="17"/>
      <c r="I715" s="18"/>
      <c r="N715" s="16"/>
      <c r="O715" s="16"/>
      <c r="P715" s="16"/>
      <c r="Q715" s="16"/>
      <c r="R715" s="16"/>
      <c r="S715" s="16"/>
    </row>
    <row r="716" ht="12.75" customHeight="1">
      <c r="G716" s="17"/>
      <c r="I716" s="18"/>
      <c r="N716" s="16"/>
      <c r="O716" s="16"/>
      <c r="P716" s="16"/>
      <c r="Q716" s="16"/>
      <c r="R716" s="16"/>
      <c r="S716" s="16"/>
    </row>
    <row r="717" ht="12.75" customHeight="1">
      <c r="G717" s="17"/>
      <c r="I717" s="18"/>
      <c r="N717" s="16"/>
      <c r="O717" s="16"/>
      <c r="P717" s="16"/>
      <c r="Q717" s="16"/>
      <c r="R717" s="16"/>
      <c r="S717" s="16"/>
    </row>
    <row r="718" ht="12.75" customHeight="1">
      <c r="G718" s="17"/>
      <c r="I718" s="18"/>
      <c r="N718" s="16"/>
      <c r="O718" s="16"/>
      <c r="P718" s="16"/>
      <c r="Q718" s="16"/>
      <c r="R718" s="16"/>
      <c r="S718" s="16"/>
    </row>
    <row r="719" ht="12.75" customHeight="1">
      <c r="G719" s="17"/>
      <c r="I719" s="18"/>
      <c r="N719" s="16"/>
      <c r="O719" s="16"/>
      <c r="P719" s="16"/>
      <c r="Q719" s="16"/>
      <c r="R719" s="16"/>
      <c r="S719" s="16"/>
    </row>
    <row r="720" ht="12.75" customHeight="1">
      <c r="G720" s="17"/>
      <c r="I720" s="18"/>
      <c r="N720" s="16"/>
      <c r="O720" s="16"/>
      <c r="P720" s="16"/>
      <c r="Q720" s="16"/>
      <c r="R720" s="16"/>
      <c r="S720" s="16"/>
    </row>
    <row r="721" ht="12.75" customHeight="1">
      <c r="G721" s="17"/>
      <c r="I721" s="18"/>
      <c r="N721" s="16"/>
      <c r="O721" s="16"/>
      <c r="P721" s="16"/>
      <c r="Q721" s="16"/>
      <c r="R721" s="16"/>
      <c r="S721" s="16"/>
    </row>
    <row r="722" ht="12.75" customHeight="1">
      <c r="G722" s="17"/>
      <c r="I722" s="18"/>
      <c r="N722" s="16"/>
      <c r="O722" s="16"/>
      <c r="P722" s="16"/>
      <c r="Q722" s="16"/>
      <c r="R722" s="16"/>
      <c r="S722" s="16"/>
    </row>
    <row r="723" ht="12.75" customHeight="1">
      <c r="G723" s="17"/>
      <c r="I723" s="18"/>
      <c r="N723" s="16"/>
      <c r="O723" s="16"/>
      <c r="P723" s="16"/>
      <c r="Q723" s="16"/>
      <c r="R723" s="16"/>
      <c r="S723" s="16"/>
    </row>
    <row r="724" ht="12.75" customHeight="1">
      <c r="G724" s="17"/>
      <c r="I724" s="18"/>
      <c r="N724" s="16"/>
      <c r="O724" s="16"/>
      <c r="P724" s="16"/>
      <c r="Q724" s="16"/>
      <c r="R724" s="16"/>
      <c r="S724" s="16"/>
    </row>
    <row r="725" ht="12.75" customHeight="1">
      <c r="G725" s="17"/>
      <c r="I725" s="18"/>
      <c r="N725" s="16"/>
      <c r="O725" s="16"/>
      <c r="P725" s="16"/>
      <c r="Q725" s="16"/>
      <c r="R725" s="16"/>
      <c r="S725" s="16"/>
    </row>
    <row r="726" ht="12.75" customHeight="1">
      <c r="G726" s="17"/>
      <c r="I726" s="18"/>
      <c r="N726" s="16"/>
      <c r="O726" s="16"/>
      <c r="P726" s="16"/>
      <c r="Q726" s="16"/>
      <c r="R726" s="16"/>
      <c r="S726" s="16"/>
    </row>
    <row r="727" ht="12.75" customHeight="1">
      <c r="G727" s="17"/>
      <c r="I727" s="18"/>
      <c r="N727" s="16"/>
      <c r="O727" s="16"/>
      <c r="P727" s="16"/>
      <c r="Q727" s="16"/>
      <c r="R727" s="16"/>
      <c r="S727" s="16"/>
    </row>
    <row r="728" ht="12.75" customHeight="1">
      <c r="G728" s="17"/>
      <c r="I728" s="18"/>
      <c r="N728" s="16"/>
      <c r="O728" s="16"/>
      <c r="P728" s="16"/>
      <c r="Q728" s="16"/>
      <c r="R728" s="16"/>
      <c r="S728" s="16"/>
    </row>
    <row r="729" ht="12.75" customHeight="1">
      <c r="G729" s="17"/>
      <c r="I729" s="18"/>
      <c r="N729" s="16"/>
      <c r="O729" s="16"/>
      <c r="P729" s="16"/>
      <c r="Q729" s="16"/>
      <c r="R729" s="16"/>
      <c r="S729" s="16"/>
    </row>
    <row r="730" ht="12.75" customHeight="1">
      <c r="G730" s="17"/>
      <c r="I730" s="18"/>
      <c r="N730" s="16"/>
      <c r="O730" s="16"/>
      <c r="P730" s="16"/>
      <c r="Q730" s="16"/>
      <c r="R730" s="16"/>
      <c r="S730" s="16"/>
    </row>
    <row r="731" ht="12.75" customHeight="1">
      <c r="G731" s="17"/>
      <c r="I731" s="18"/>
      <c r="N731" s="16"/>
      <c r="O731" s="16"/>
      <c r="P731" s="16"/>
      <c r="Q731" s="16"/>
      <c r="R731" s="16"/>
      <c r="S731" s="16"/>
    </row>
    <row r="732" ht="12.75" customHeight="1">
      <c r="G732" s="17"/>
      <c r="I732" s="18"/>
      <c r="N732" s="16"/>
      <c r="O732" s="16"/>
      <c r="P732" s="16"/>
      <c r="Q732" s="16"/>
      <c r="R732" s="16"/>
      <c r="S732" s="16"/>
    </row>
    <row r="733" ht="12.75" customHeight="1">
      <c r="G733" s="17"/>
      <c r="I733" s="18"/>
      <c r="N733" s="16"/>
      <c r="O733" s="16"/>
      <c r="P733" s="16"/>
      <c r="Q733" s="16"/>
      <c r="R733" s="16"/>
      <c r="S733" s="16"/>
    </row>
    <row r="734" ht="12.75" customHeight="1">
      <c r="G734" s="17"/>
      <c r="I734" s="18"/>
      <c r="N734" s="16"/>
      <c r="O734" s="16"/>
      <c r="P734" s="16"/>
      <c r="Q734" s="16"/>
      <c r="R734" s="16"/>
      <c r="S734" s="16"/>
    </row>
    <row r="735" ht="12.75" customHeight="1">
      <c r="G735" s="17"/>
      <c r="I735" s="18"/>
      <c r="N735" s="16"/>
      <c r="O735" s="16"/>
      <c r="P735" s="16"/>
      <c r="Q735" s="16"/>
      <c r="R735" s="16"/>
      <c r="S735" s="16"/>
    </row>
    <row r="736" ht="12.75" customHeight="1">
      <c r="G736" s="17"/>
      <c r="I736" s="18"/>
      <c r="N736" s="16"/>
      <c r="O736" s="16"/>
      <c r="P736" s="16"/>
      <c r="Q736" s="16"/>
      <c r="R736" s="16"/>
      <c r="S736" s="16"/>
    </row>
    <row r="737" ht="12.75" customHeight="1">
      <c r="G737" s="17"/>
      <c r="I737" s="18"/>
      <c r="N737" s="16"/>
      <c r="O737" s="16"/>
      <c r="P737" s="16"/>
      <c r="Q737" s="16"/>
      <c r="R737" s="16"/>
      <c r="S737" s="16"/>
    </row>
    <row r="738" ht="12.75" customHeight="1">
      <c r="G738" s="17"/>
      <c r="I738" s="18"/>
      <c r="N738" s="16"/>
      <c r="O738" s="16"/>
      <c r="P738" s="16"/>
      <c r="Q738" s="16"/>
      <c r="R738" s="16"/>
      <c r="S738" s="16"/>
    </row>
    <row r="739" ht="12.75" customHeight="1">
      <c r="G739" s="17"/>
      <c r="I739" s="18"/>
      <c r="N739" s="16"/>
      <c r="O739" s="16"/>
      <c r="P739" s="16"/>
      <c r="Q739" s="16"/>
      <c r="R739" s="16"/>
      <c r="S739" s="16"/>
    </row>
    <row r="740" ht="12.75" customHeight="1">
      <c r="G740" s="17"/>
      <c r="I740" s="18"/>
      <c r="N740" s="16"/>
      <c r="O740" s="16"/>
      <c r="P740" s="16"/>
      <c r="Q740" s="16"/>
      <c r="R740" s="16"/>
      <c r="S740" s="16"/>
    </row>
    <row r="741" ht="12.75" customHeight="1">
      <c r="G741" s="17"/>
      <c r="I741" s="18"/>
      <c r="N741" s="16"/>
      <c r="O741" s="16"/>
      <c r="P741" s="16"/>
      <c r="Q741" s="16"/>
      <c r="R741" s="16"/>
      <c r="S741" s="16"/>
    </row>
    <row r="742" ht="12.75" customHeight="1">
      <c r="G742" s="17"/>
      <c r="I742" s="18"/>
      <c r="N742" s="16"/>
      <c r="O742" s="16"/>
      <c r="P742" s="16"/>
      <c r="Q742" s="16"/>
      <c r="R742" s="16"/>
      <c r="S742" s="16"/>
    </row>
    <row r="743" ht="12.75" customHeight="1">
      <c r="G743" s="17"/>
      <c r="I743" s="18"/>
      <c r="N743" s="16"/>
      <c r="O743" s="16"/>
      <c r="P743" s="16"/>
      <c r="Q743" s="16"/>
      <c r="R743" s="16"/>
      <c r="S743" s="16"/>
    </row>
    <row r="744" ht="12.75" customHeight="1">
      <c r="G744" s="17"/>
      <c r="I744" s="18"/>
      <c r="N744" s="16"/>
      <c r="O744" s="16"/>
      <c r="P744" s="16"/>
      <c r="Q744" s="16"/>
      <c r="R744" s="16"/>
      <c r="S744" s="16"/>
    </row>
    <row r="745" ht="12.75" customHeight="1">
      <c r="G745" s="17"/>
      <c r="I745" s="18"/>
      <c r="N745" s="16"/>
      <c r="O745" s="16"/>
      <c r="P745" s="16"/>
      <c r="Q745" s="16"/>
      <c r="R745" s="16"/>
      <c r="S745" s="16"/>
    </row>
    <row r="746" ht="12.75" customHeight="1">
      <c r="G746" s="17"/>
      <c r="I746" s="18"/>
      <c r="N746" s="16"/>
      <c r="O746" s="16"/>
      <c r="P746" s="16"/>
      <c r="Q746" s="16"/>
      <c r="R746" s="16"/>
      <c r="S746" s="16"/>
    </row>
    <row r="747" ht="12.75" customHeight="1">
      <c r="G747" s="17"/>
      <c r="I747" s="18"/>
      <c r="N747" s="16"/>
      <c r="O747" s="16"/>
      <c r="P747" s="16"/>
      <c r="Q747" s="16"/>
      <c r="R747" s="16"/>
      <c r="S747" s="16"/>
    </row>
    <row r="748" ht="12.75" customHeight="1">
      <c r="G748" s="17"/>
      <c r="I748" s="18"/>
      <c r="N748" s="16"/>
      <c r="O748" s="16"/>
      <c r="P748" s="16"/>
      <c r="Q748" s="16"/>
      <c r="R748" s="16"/>
      <c r="S748" s="16"/>
    </row>
    <row r="749" ht="12.75" customHeight="1">
      <c r="G749" s="17"/>
      <c r="I749" s="18"/>
      <c r="N749" s="16"/>
      <c r="O749" s="16"/>
      <c r="P749" s="16"/>
      <c r="Q749" s="16"/>
      <c r="R749" s="16"/>
      <c r="S749" s="16"/>
    </row>
    <row r="750" ht="12.75" customHeight="1">
      <c r="G750" s="17"/>
      <c r="I750" s="18"/>
      <c r="N750" s="16"/>
      <c r="O750" s="16"/>
      <c r="P750" s="16"/>
      <c r="Q750" s="16"/>
      <c r="R750" s="16"/>
      <c r="S750" s="16"/>
    </row>
    <row r="751" ht="12.75" customHeight="1">
      <c r="G751" s="17"/>
      <c r="I751" s="18"/>
      <c r="N751" s="16"/>
      <c r="O751" s="16"/>
      <c r="P751" s="16"/>
      <c r="Q751" s="16"/>
      <c r="R751" s="16"/>
      <c r="S751" s="16"/>
    </row>
    <row r="752" ht="12.75" customHeight="1">
      <c r="G752" s="17"/>
      <c r="I752" s="18"/>
      <c r="N752" s="16"/>
      <c r="O752" s="16"/>
      <c r="P752" s="16"/>
      <c r="Q752" s="16"/>
      <c r="R752" s="16"/>
      <c r="S752" s="16"/>
    </row>
    <row r="753" ht="12.75" customHeight="1">
      <c r="G753" s="17"/>
      <c r="I753" s="18"/>
      <c r="N753" s="16"/>
      <c r="O753" s="16"/>
      <c r="P753" s="16"/>
      <c r="Q753" s="16"/>
      <c r="R753" s="16"/>
      <c r="S753" s="16"/>
    </row>
    <row r="754" ht="12.75" customHeight="1">
      <c r="G754" s="17"/>
      <c r="I754" s="18"/>
      <c r="N754" s="16"/>
      <c r="O754" s="16"/>
      <c r="P754" s="16"/>
      <c r="Q754" s="16"/>
      <c r="R754" s="16"/>
      <c r="S754" s="16"/>
    </row>
    <row r="755" ht="12.75" customHeight="1">
      <c r="G755" s="17"/>
      <c r="I755" s="18"/>
      <c r="N755" s="16"/>
      <c r="O755" s="16"/>
      <c r="P755" s="16"/>
      <c r="Q755" s="16"/>
      <c r="R755" s="16"/>
      <c r="S755" s="16"/>
    </row>
    <row r="756" ht="12.75" customHeight="1">
      <c r="G756" s="17"/>
      <c r="I756" s="18"/>
      <c r="N756" s="16"/>
      <c r="O756" s="16"/>
      <c r="P756" s="16"/>
      <c r="Q756" s="16"/>
      <c r="R756" s="16"/>
      <c r="S756" s="16"/>
    </row>
    <row r="757" ht="12.75" customHeight="1">
      <c r="G757" s="17"/>
      <c r="I757" s="18"/>
      <c r="N757" s="16"/>
      <c r="O757" s="16"/>
      <c r="P757" s="16"/>
      <c r="Q757" s="16"/>
      <c r="R757" s="16"/>
      <c r="S757" s="16"/>
    </row>
    <row r="758" ht="12.75" customHeight="1">
      <c r="G758" s="17"/>
      <c r="I758" s="18"/>
      <c r="N758" s="16"/>
      <c r="O758" s="16"/>
      <c r="P758" s="16"/>
      <c r="Q758" s="16"/>
      <c r="R758" s="16"/>
      <c r="S758" s="16"/>
    </row>
    <row r="759" ht="12.75" customHeight="1">
      <c r="G759" s="17"/>
      <c r="I759" s="18"/>
      <c r="N759" s="16"/>
      <c r="O759" s="16"/>
      <c r="P759" s="16"/>
      <c r="Q759" s="16"/>
      <c r="R759" s="16"/>
      <c r="S759" s="16"/>
    </row>
    <row r="760" ht="12.75" customHeight="1">
      <c r="G760" s="17"/>
      <c r="I760" s="18"/>
      <c r="N760" s="16"/>
      <c r="O760" s="16"/>
      <c r="P760" s="16"/>
      <c r="Q760" s="16"/>
      <c r="R760" s="16"/>
      <c r="S760" s="16"/>
    </row>
    <row r="761" ht="12.75" customHeight="1">
      <c r="G761" s="17"/>
      <c r="I761" s="18"/>
      <c r="N761" s="16"/>
      <c r="O761" s="16"/>
      <c r="P761" s="16"/>
      <c r="Q761" s="16"/>
      <c r="R761" s="16"/>
      <c r="S761" s="16"/>
    </row>
    <row r="762" ht="12.75" customHeight="1">
      <c r="G762" s="17"/>
      <c r="I762" s="18"/>
      <c r="N762" s="16"/>
      <c r="O762" s="16"/>
      <c r="P762" s="16"/>
      <c r="Q762" s="16"/>
      <c r="R762" s="16"/>
      <c r="S762" s="16"/>
    </row>
    <row r="763" ht="12.75" customHeight="1">
      <c r="G763" s="17"/>
      <c r="I763" s="18"/>
      <c r="N763" s="16"/>
      <c r="O763" s="16"/>
      <c r="P763" s="16"/>
      <c r="Q763" s="16"/>
      <c r="R763" s="16"/>
      <c r="S763" s="16"/>
    </row>
    <row r="764" ht="12.75" customHeight="1">
      <c r="G764" s="17"/>
      <c r="I764" s="18"/>
      <c r="N764" s="16"/>
      <c r="O764" s="16"/>
      <c r="P764" s="16"/>
      <c r="Q764" s="16"/>
      <c r="R764" s="16"/>
      <c r="S764" s="16"/>
    </row>
    <row r="765" ht="12.75" customHeight="1">
      <c r="G765" s="17"/>
      <c r="I765" s="18"/>
      <c r="N765" s="16"/>
      <c r="O765" s="16"/>
      <c r="P765" s="16"/>
      <c r="Q765" s="16"/>
      <c r="R765" s="16"/>
      <c r="S765" s="16"/>
    </row>
    <row r="766" ht="12.75" customHeight="1">
      <c r="G766" s="17"/>
      <c r="I766" s="18"/>
      <c r="N766" s="16"/>
      <c r="O766" s="16"/>
      <c r="P766" s="16"/>
      <c r="Q766" s="16"/>
      <c r="R766" s="16"/>
      <c r="S766" s="16"/>
    </row>
    <row r="767" ht="12.75" customHeight="1">
      <c r="G767" s="17"/>
      <c r="I767" s="18"/>
      <c r="N767" s="16"/>
      <c r="O767" s="16"/>
      <c r="P767" s="16"/>
      <c r="Q767" s="16"/>
      <c r="R767" s="16"/>
      <c r="S767" s="16"/>
    </row>
    <row r="768" ht="12.75" customHeight="1">
      <c r="G768" s="17"/>
      <c r="I768" s="18"/>
      <c r="N768" s="16"/>
      <c r="O768" s="16"/>
      <c r="P768" s="16"/>
      <c r="Q768" s="16"/>
      <c r="R768" s="16"/>
      <c r="S768" s="16"/>
    </row>
    <row r="769" ht="12.75" customHeight="1">
      <c r="G769" s="17"/>
      <c r="I769" s="18"/>
      <c r="N769" s="16"/>
      <c r="O769" s="16"/>
      <c r="P769" s="16"/>
      <c r="Q769" s="16"/>
      <c r="R769" s="16"/>
      <c r="S769" s="16"/>
    </row>
    <row r="770" ht="12.75" customHeight="1">
      <c r="G770" s="17"/>
      <c r="I770" s="18"/>
      <c r="N770" s="16"/>
      <c r="O770" s="16"/>
      <c r="P770" s="16"/>
      <c r="Q770" s="16"/>
      <c r="R770" s="16"/>
      <c r="S770" s="16"/>
    </row>
    <row r="771" ht="12.75" customHeight="1">
      <c r="G771" s="17"/>
      <c r="I771" s="18"/>
      <c r="N771" s="16"/>
      <c r="O771" s="16"/>
      <c r="P771" s="16"/>
      <c r="Q771" s="16"/>
      <c r="R771" s="16"/>
      <c r="S771" s="16"/>
    </row>
    <row r="772" ht="12.75" customHeight="1">
      <c r="G772" s="17"/>
      <c r="I772" s="18"/>
      <c r="N772" s="16"/>
      <c r="O772" s="16"/>
      <c r="P772" s="16"/>
      <c r="Q772" s="16"/>
      <c r="R772" s="16"/>
      <c r="S772" s="16"/>
    </row>
    <row r="773" ht="12.75" customHeight="1">
      <c r="G773" s="17"/>
      <c r="I773" s="18"/>
      <c r="N773" s="16"/>
      <c r="O773" s="16"/>
      <c r="P773" s="16"/>
      <c r="Q773" s="16"/>
      <c r="R773" s="16"/>
      <c r="S773" s="16"/>
    </row>
    <row r="774" ht="12.75" customHeight="1">
      <c r="G774" s="17"/>
      <c r="I774" s="18"/>
      <c r="N774" s="16"/>
      <c r="O774" s="16"/>
      <c r="P774" s="16"/>
      <c r="Q774" s="16"/>
      <c r="R774" s="16"/>
      <c r="S774" s="16"/>
    </row>
    <row r="775" ht="12.75" customHeight="1">
      <c r="G775" s="17"/>
      <c r="I775" s="18"/>
      <c r="N775" s="16"/>
      <c r="O775" s="16"/>
      <c r="P775" s="16"/>
      <c r="Q775" s="16"/>
      <c r="R775" s="16"/>
      <c r="S775" s="16"/>
    </row>
    <row r="776" ht="12.75" customHeight="1">
      <c r="G776" s="17"/>
      <c r="I776" s="18"/>
      <c r="N776" s="16"/>
      <c r="O776" s="16"/>
      <c r="P776" s="16"/>
      <c r="Q776" s="16"/>
      <c r="R776" s="16"/>
      <c r="S776" s="16"/>
    </row>
    <row r="777" ht="12.75" customHeight="1">
      <c r="G777" s="17"/>
      <c r="I777" s="18"/>
      <c r="N777" s="16"/>
      <c r="O777" s="16"/>
      <c r="P777" s="16"/>
      <c r="Q777" s="16"/>
      <c r="R777" s="16"/>
      <c r="S777" s="16"/>
    </row>
    <row r="778" ht="12.75" customHeight="1">
      <c r="G778" s="17"/>
      <c r="I778" s="18"/>
      <c r="N778" s="16"/>
      <c r="O778" s="16"/>
      <c r="P778" s="16"/>
      <c r="Q778" s="16"/>
      <c r="R778" s="16"/>
      <c r="S778" s="16"/>
    </row>
    <row r="779" ht="12.75" customHeight="1">
      <c r="G779" s="17"/>
      <c r="I779" s="18"/>
      <c r="N779" s="16"/>
      <c r="O779" s="16"/>
      <c r="P779" s="16"/>
      <c r="Q779" s="16"/>
      <c r="R779" s="16"/>
      <c r="S779" s="16"/>
    </row>
    <row r="780" ht="12.75" customHeight="1">
      <c r="G780" s="17"/>
      <c r="I780" s="18"/>
      <c r="N780" s="16"/>
      <c r="O780" s="16"/>
      <c r="P780" s="16"/>
      <c r="Q780" s="16"/>
      <c r="R780" s="16"/>
      <c r="S780" s="16"/>
    </row>
    <row r="781" ht="12.75" customHeight="1">
      <c r="G781" s="17"/>
      <c r="I781" s="18"/>
      <c r="N781" s="16"/>
      <c r="O781" s="16"/>
      <c r="P781" s="16"/>
      <c r="Q781" s="16"/>
      <c r="R781" s="16"/>
      <c r="S781" s="16"/>
    </row>
    <row r="782" ht="12.75" customHeight="1">
      <c r="G782" s="17"/>
      <c r="I782" s="18"/>
      <c r="N782" s="16"/>
      <c r="O782" s="16"/>
      <c r="P782" s="16"/>
      <c r="Q782" s="16"/>
      <c r="R782" s="16"/>
      <c r="S782" s="16"/>
    </row>
    <row r="783" ht="12.75" customHeight="1">
      <c r="G783" s="17"/>
      <c r="I783" s="18"/>
      <c r="N783" s="16"/>
      <c r="O783" s="16"/>
      <c r="P783" s="16"/>
      <c r="Q783" s="16"/>
      <c r="R783" s="16"/>
      <c r="S783" s="16"/>
    </row>
    <row r="784" ht="12.75" customHeight="1">
      <c r="G784" s="17"/>
      <c r="I784" s="18"/>
      <c r="N784" s="16"/>
      <c r="O784" s="16"/>
      <c r="P784" s="16"/>
      <c r="Q784" s="16"/>
      <c r="R784" s="16"/>
      <c r="S784" s="16"/>
    </row>
    <row r="785" ht="12.75" customHeight="1">
      <c r="G785" s="17"/>
      <c r="I785" s="18"/>
      <c r="N785" s="16"/>
      <c r="O785" s="16"/>
      <c r="P785" s="16"/>
      <c r="Q785" s="16"/>
      <c r="R785" s="16"/>
      <c r="S785" s="16"/>
    </row>
    <row r="786" ht="12.75" customHeight="1">
      <c r="G786" s="17"/>
      <c r="I786" s="18"/>
      <c r="N786" s="16"/>
      <c r="O786" s="16"/>
      <c r="P786" s="16"/>
      <c r="Q786" s="16"/>
      <c r="R786" s="16"/>
      <c r="S786" s="16"/>
    </row>
    <row r="787" ht="12.75" customHeight="1">
      <c r="G787" s="17"/>
      <c r="I787" s="18"/>
      <c r="N787" s="16"/>
      <c r="O787" s="16"/>
      <c r="P787" s="16"/>
      <c r="Q787" s="16"/>
      <c r="R787" s="16"/>
      <c r="S787" s="16"/>
    </row>
    <row r="788" ht="12.75" customHeight="1">
      <c r="G788" s="17"/>
      <c r="I788" s="18"/>
      <c r="N788" s="16"/>
      <c r="O788" s="16"/>
      <c r="P788" s="16"/>
      <c r="Q788" s="16"/>
      <c r="R788" s="16"/>
      <c r="S788" s="16"/>
    </row>
    <row r="789" ht="12.75" customHeight="1">
      <c r="G789" s="17"/>
      <c r="I789" s="18"/>
      <c r="N789" s="16"/>
      <c r="O789" s="16"/>
      <c r="P789" s="16"/>
      <c r="Q789" s="16"/>
      <c r="R789" s="16"/>
      <c r="S789" s="16"/>
    </row>
    <row r="790" ht="12.75" customHeight="1">
      <c r="G790" s="17"/>
      <c r="I790" s="18"/>
      <c r="N790" s="16"/>
      <c r="O790" s="16"/>
      <c r="P790" s="16"/>
      <c r="Q790" s="16"/>
      <c r="R790" s="16"/>
      <c r="S790" s="16"/>
    </row>
    <row r="791" ht="12.75" customHeight="1">
      <c r="G791" s="17"/>
      <c r="I791" s="18"/>
      <c r="N791" s="16"/>
      <c r="O791" s="16"/>
      <c r="P791" s="16"/>
      <c r="Q791" s="16"/>
      <c r="R791" s="16"/>
      <c r="S791" s="16"/>
    </row>
    <row r="792" ht="12.75" customHeight="1">
      <c r="G792" s="17"/>
      <c r="I792" s="18"/>
      <c r="N792" s="16"/>
      <c r="O792" s="16"/>
      <c r="P792" s="16"/>
      <c r="Q792" s="16"/>
      <c r="R792" s="16"/>
      <c r="S792" s="16"/>
    </row>
    <row r="793" ht="12.75" customHeight="1">
      <c r="G793" s="17"/>
      <c r="I793" s="18"/>
      <c r="N793" s="16"/>
      <c r="O793" s="16"/>
      <c r="P793" s="16"/>
      <c r="Q793" s="16"/>
      <c r="R793" s="16"/>
      <c r="S793" s="16"/>
    </row>
    <row r="794" ht="12.75" customHeight="1">
      <c r="G794" s="17"/>
      <c r="I794" s="18"/>
      <c r="N794" s="16"/>
      <c r="O794" s="16"/>
      <c r="P794" s="16"/>
      <c r="Q794" s="16"/>
      <c r="R794" s="16"/>
      <c r="S794" s="16"/>
    </row>
    <row r="795" ht="12.75" customHeight="1">
      <c r="G795" s="17"/>
      <c r="I795" s="18"/>
      <c r="N795" s="16"/>
      <c r="O795" s="16"/>
      <c r="P795" s="16"/>
      <c r="Q795" s="16"/>
      <c r="R795" s="16"/>
      <c r="S795" s="16"/>
    </row>
    <row r="796" ht="12.75" customHeight="1">
      <c r="G796" s="17"/>
      <c r="I796" s="18"/>
      <c r="N796" s="16"/>
      <c r="O796" s="16"/>
      <c r="P796" s="16"/>
      <c r="Q796" s="16"/>
      <c r="R796" s="16"/>
      <c r="S796" s="16"/>
    </row>
    <row r="797" ht="12.75" customHeight="1">
      <c r="G797" s="17"/>
      <c r="I797" s="18"/>
      <c r="N797" s="16"/>
      <c r="O797" s="16"/>
      <c r="P797" s="16"/>
      <c r="Q797" s="16"/>
      <c r="R797" s="16"/>
      <c r="S797" s="16"/>
    </row>
    <row r="798" ht="12.75" customHeight="1">
      <c r="G798" s="17"/>
      <c r="I798" s="18"/>
      <c r="N798" s="16"/>
      <c r="O798" s="16"/>
      <c r="P798" s="16"/>
      <c r="Q798" s="16"/>
      <c r="R798" s="16"/>
      <c r="S798" s="16"/>
    </row>
    <row r="799" ht="12.75" customHeight="1">
      <c r="G799" s="17"/>
      <c r="I799" s="18"/>
      <c r="N799" s="16"/>
      <c r="O799" s="16"/>
      <c r="P799" s="16"/>
      <c r="Q799" s="16"/>
      <c r="R799" s="16"/>
      <c r="S799" s="16"/>
    </row>
    <row r="800" ht="12.75" customHeight="1">
      <c r="G800" s="17"/>
      <c r="I800" s="18"/>
      <c r="N800" s="16"/>
      <c r="O800" s="16"/>
      <c r="P800" s="16"/>
      <c r="Q800" s="16"/>
      <c r="R800" s="16"/>
      <c r="S800" s="16"/>
    </row>
    <row r="801" ht="12.75" customHeight="1">
      <c r="G801" s="17"/>
      <c r="I801" s="18"/>
      <c r="N801" s="16"/>
      <c r="O801" s="16"/>
      <c r="P801" s="16"/>
      <c r="Q801" s="16"/>
      <c r="R801" s="16"/>
      <c r="S801" s="16"/>
    </row>
    <row r="802" ht="12.75" customHeight="1">
      <c r="G802" s="17"/>
      <c r="I802" s="18"/>
      <c r="N802" s="16"/>
      <c r="O802" s="16"/>
      <c r="P802" s="16"/>
      <c r="Q802" s="16"/>
      <c r="R802" s="16"/>
      <c r="S802" s="16"/>
    </row>
    <row r="803" ht="12.75" customHeight="1">
      <c r="G803" s="17"/>
      <c r="I803" s="18"/>
      <c r="N803" s="16"/>
      <c r="O803" s="16"/>
      <c r="P803" s="16"/>
      <c r="Q803" s="16"/>
      <c r="R803" s="16"/>
      <c r="S803" s="16"/>
    </row>
    <row r="804" ht="12.75" customHeight="1">
      <c r="G804" s="17"/>
      <c r="I804" s="18"/>
      <c r="N804" s="16"/>
      <c r="O804" s="16"/>
      <c r="P804" s="16"/>
      <c r="Q804" s="16"/>
      <c r="R804" s="16"/>
      <c r="S804" s="16"/>
    </row>
    <row r="805" ht="12.75" customHeight="1">
      <c r="G805" s="17"/>
      <c r="I805" s="18"/>
      <c r="N805" s="16"/>
      <c r="O805" s="16"/>
      <c r="P805" s="16"/>
      <c r="Q805" s="16"/>
      <c r="R805" s="16"/>
      <c r="S805" s="16"/>
    </row>
    <row r="806" ht="12.75" customHeight="1">
      <c r="G806" s="17"/>
      <c r="I806" s="18"/>
      <c r="N806" s="16"/>
      <c r="O806" s="16"/>
      <c r="P806" s="16"/>
      <c r="Q806" s="16"/>
      <c r="R806" s="16"/>
      <c r="S806" s="16"/>
    </row>
    <row r="807" ht="12.75" customHeight="1">
      <c r="G807" s="17"/>
      <c r="I807" s="18"/>
      <c r="N807" s="16"/>
      <c r="O807" s="16"/>
      <c r="P807" s="16"/>
      <c r="Q807" s="16"/>
      <c r="R807" s="16"/>
      <c r="S807" s="16"/>
    </row>
    <row r="808" ht="12.75" customHeight="1">
      <c r="G808" s="17"/>
      <c r="I808" s="18"/>
      <c r="N808" s="16"/>
      <c r="O808" s="16"/>
      <c r="P808" s="16"/>
      <c r="Q808" s="16"/>
      <c r="R808" s="16"/>
      <c r="S808" s="16"/>
    </row>
    <row r="809" ht="12.75" customHeight="1">
      <c r="G809" s="17"/>
      <c r="I809" s="18"/>
      <c r="N809" s="16"/>
      <c r="O809" s="16"/>
      <c r="P809" s="16"/>
      <c r="Q809" s="16"/>
      <c r="R809" s="16"/>
      <c r="S809" s="16"/>
    </row>
    <row r="810" ht="12.75" customHeight="1">
      <c r="G810" s="17"/>
      <c r="I810" s="18"/>
      <c r="N810" s="16"/>
      <c r="O810" s="16"/>
      <c r="P810" s="16"/>
      <c r="Q810" s="16"/>
      <c r="R810" s="16"/>
      <c r="S810" s="16"/>
    </row>
    <row r="811" ht="12.75" customHeight="1">
      <c r="G811" s="17"/>
      <c r="I811" s="18"/>
      <c r="N811" s="16"/>
      <c r="O811" s="16"/>
      <c r="P811" s="16"/>
      <c r="Q811" s="16"/>
      <c r="R811" s="16"/>
      <c r="S811" s="16"/>
    </row>
    <row r="812" ht="12.75" customHeight="1">
      <c r="G812" s="17"/>
      <c r="I812" s="18"/>
      <c r="N812" s="16"/>
      <c r="O812" s="16"/>
      <c r="P812" s="16"/>
      <c r="Q812" s="16"/>
      <c r="R812" s="16"/>
      <c r="S812" s="16"/>
    </row>
    <row r="813" ht="12.75" customHeight="1">
      <c r="G813" s="17"/>
      <c r="I813" s="18"/>
      <c r="N813" s="16"/>
      <c r="O813" s="16"/>
      <c r="P813" s="16"/>
      <c r="Q813" s="16"/>
      <c r="R813" s="16"/>
      <c r="S813" s="16"/>
    </row>
    <row r="814" ht="12.75" customHeight="1">
      <c r="G814" s="17"/>
      <c r="I814" s="18"/>
      <c r="N814" s="16"/>
      <c r="O814" s="16"/>
      <c r="P814" s="16"/>
      <c r="Q814" s="16"/>
      <c r="R814" s="16"/>
      <c r="S814" s="16"/>
    </row>
    <row r="815" ht="12.75" customHeight="1">
      <c r="G815" s="17"/>
      <c r="I815" s="18"/>
      <c r="N815" s="16"/>
      <c r="O815" s="16"/>
      <c r="P815" s="16"/>
      <c r="Q815" s="16"/>
      <c r="R815" s="16"/>
      <c r="S815" s="16"/>
    </row>
    <row r="816" ht="12.75" customHeight="1">
      <c r="G816" s="17"/>
      <c r="I816" s="18"/>
      <c r="N816" s="16"/>
      <c r="O816" s="16"/>
      <c r="P816" s="16"/>
      <c r="Q816" s="16"/>
      <c r="R816" s="16"/>
      <c r="S816" s="16"/>
    </row>
    <row r="817" ht="12.75" customHeight="1">
      <c r="G817" s="17"/>
      <c r="I817" s="18"/>
      <c r="N817" s="16"/>
      <c r="O817" s="16"/>
      <c r="P817" s="16"/>
      <c r="Q817" s="16"/>
      <c r="R817" s="16"/>
      <c r="S817" s="16"/>
    </row>
    <row r="818" ht="12.75" customHeight="1">
      <c r="G818" s="17"/>
      <c r="I818" s="18"/>
      <c r="N818" s="16"/>
      <c r="O818" s="16"/>
      <c r="P818" s="16"/>
      <c r="Q818" s="16"/>
      <c r="R818" s="16"/>
      <c r="S818" s="16"/>
    </row>
    <row r="819" ht="12.75" customHeight="1">
      <c r="G819" s="17"/>
      <c r="I819" s="18"/>
      <c r="N819" s="16"/>
      <c r="O819" s="16"/>
      <c r="P819" s="16"/>
      <c r="Q819" s="16"/>
      <c r="R819" s="16"/>
      <c r="S819" s="16"/>
    </row>
    <row r="820" ht="12.75" customHeight="1">
      <c r="G820" s="17"/>
      <c r="I820" s="18"/>
      <c r="N820" s="16"/>
      <c r="O820" s="16"/>
      <c r="P820" s="16"/>
      <c r="Q820" s="16"/>
      <c r="R820" s="16"/>
      <c r="S820" s="16"/>
    </row>
    <row r="821" ht="12.75" customHeight="1">
      <c r="G821" s="17"/>
      <c r="I821" s="18"/>
      <c r="N821" s="16"/>
      <c r="O821" s="16"/>
      <c r="P821" s="16"/>
      <c r="Q821" s="16"/>
      <c r="R821" s="16"/>
      <c r="S821" s="16"/>
    </row>
    <row r="822" ht="12.75" customHeight="1">
      <c r="G822" s="17"/>
      <c r="I822" s="18"/>
      <c r="N822" s="16"/>
      <c r="O822" s="16"/>
      <c r="P822" s="16"/>
      <c r="Q822" s="16"/>
      <c r="R822" s="16"/>
      <c r="S822" s="16"/>
    </row>
    <row r="823" ht="12.75" customHeight="1">
      <c r="G823" s="17"/>
      <c r="I823" s="18"/>
      <c r="N823" s="16"/>
      <c r="O823" s="16"/>
      <c r="P823" s="16"/>
      <c r="Q823" s="16"/>
      <c r="R823" s="16"/>
      <c r="S823" s="16"/>
    </row>
    <row r="824" ht="12.75" customHeight="1">
      <c r="G824" s="17"/>
      <c r="I824" s="18"/>
      <c r="N824" s="16"/>
      <c r="O824" s="16"/>
      <c r="P824" s="16"/>
      <c r="Q824" s="16"/>
      <c r="R824" s="16"/>
      <c r="S824" s="16"/>
    </row>
    <row r="825" ht="12.75" customHeight="1">
      <c r="G825" s="17"/>
      <c r="I825" s="18"/>
      <c r="N825" s="16"/>
      <c r="O825" s="16"/>
      <c r="P825" s="16"/>
      <c r="Q825" s="16"/>
      <c r="R825" s="16"/>
      <c r="S825" s="16"/>
    </row>
    <row r="826" ht="12.75" customHeight="1">
      <c r="G826" s="17"/>
      <c r="I826" s="18"/>
      <c r="N826" s="16"/>
      <c r="O826" s="16"/>
      <c r="P826" s="16"/>
      <c r="Q826" s="16"/>
      <c r="R826" s="16"/>
      <c r="S826" s="16"/>
    </row>
    <row r="827" ht="12.75" customHeight="1">
      <c r="G827" s="17"/>
      <c r="I827" s="18"/>
      <c r="N827" s="16"/>
      <c r="O827" s="16"/>
      <c r="P827" s="16"/>
      <c r="Q827" s="16"/>
      <c r="R827" s="16"/>
      <c r="S827" s="16"/>
    </row>
    <row r="828" ht="12.75" customHeight="1">
      <c r="G828" s="17"/>
      <c r="I828" s="18"/>
      <c r="N828" s="16"/>
      <c r="O828" s="16"/>
      <c r="P828" s="16"/>
      <c r="Q828" s="16"/>
      <c r="R828" s="16"/>
      <c r="S828" s="16"/>
    </row>
    <row r="829" ht="12.75" customHeight="1">
      <c r="G829" s="17"/>
      <c r="I829" s="18"/>
      <c r="N829" s="16"/>
      <c r="O829" s="16"/>
      <c r="P829" s="16"/>
      <c r="Q829" s="16"/>
      <c r="R829" s="16"/>
      <c r="S829" s="16"/>
    </row>
    <row r="830" ht="12.75" customHeight="1">
      <c r="G830" s="17"/>
      <c r="I830" s="18"/>
      <c r="N830" s="16"/>
      <c r="O830" s="16"/>
      <c r="P830" s="16"/>
      <c r="Q830" s="16"/>
      <c r="R830" s="16"/>
      <c r="S830" s="16"/>
    </row>
    <row r="831" ht="12.75" customHeight="1">
      <c r="G831" s="17"/>
      <c r="I831" s="18"/>
      <c r="N831" s="16"/>
      <c r="O831" s="16"/>
      <c r="P831" s="16"/>
      <c r="Q831" s="16"/>
      <c r="R831" s="16"/>
      <c r="S831" s="16"/>
    </row>
    <row r="832" ht="12.75" customHeight="1">
      <c r="G832" s="17"/>
      <c r="I832" s="18"/>
      <c r="N832" s="16"/>
      <c r="O832" s="16"/>
      <c r="P832" s="16"/>
      <c r="Q832" s="16"/>
      <c r="R832" s="16"/>
      <c r="S832" s="16"/>
    </row>
    <row r="833" ht="12.75" customHeight="1">
      <c r="G833" s="17"/>
      <c r="I833" s="18"/>
      <c r="N833" s="16"/>
      <c r="O833" s="16"/>
      <c r="P833" s="16"/>
      <c r="Q833" s="16"/>
      <c r="R833" s="16"/>
      <c r="S833" s="16"/>
    </row>
    <row r="834" ht="12.75" customHeight="1">
      <c r="G834" s="17"/>
      <c r="I834" s="18"/>
      <c r="N834" s="16"/>
      <c r="O834" s="16"/>
      <c r="P834" s="16"/>
      <c r="Q834" s="16"/>
      <c r="R834" s="16"/>
      <c r="S834" s="16"/>
    </row>
    <row r="835" ht="12.75" customHeight="1">
      <c r="G835" s="17"/>
      <c r="I835" s="18"/>
      <c r="N835" s="16"/>
      <c r="O835" s="16"/>
      <c r="P835" s="16"/>
      <c r="Q835" s="16"/>
      <c r="R835" s="16"/>
      <c r="S835" s="16"/>
    </row>
    <row r="836" ht="12.75" customHeight="1">
      <c r="G836" s="17"/>
      <c r="I836" s="18"/>
      <c r="N836" s="16"/>
      <c r="O836" s="16"/>
      <c r="P836" s="16"/>
      <c r="Q836" s="16"/>
      <c r="R836" s="16"/>
      <c r="S836" s="16"/>
    </row>
    <row r="837" ht="12.75" customHeight="1">
      <c r="G837" s="17"/>
      <c r="I837" s="18"/>
      <c r="N837" s="16"/>
      <c r="O837" s="16"/>
      <c r="P837" s="16"/>
      <c r="Q837" s="16"/>
      <c r="R837" s="16"/>
      <c r="S837" s="16"/>
    </row>
    <row r="838" ht="12.75" customHeight="1">
      <c r="G838" s="17"/>
      <c r="I838" s="18"/>
      <c r="N838" s="16"/>
      <c r="O838" s="16"/>
      <c r="P838" s="16"/>
      <c r="Q838" s="16"/>
      <c r="R838" s="16"/>
      <c r="S838" s="16"/>
    </row>
    <row r="839" ht="12.75" customHeight="1">
      <c r="G839" s="17"/>
      <c r="I839" s="18"/>
      <c r="N839" s="16"/>
      <c r="O839" s="16"/>
      <c r="P839" s="16"/>
      <c r="Q839" s="16"/>
      <c r="R839" s="16"/>
      <c r="S839" s="16"/>
    </row>
    <row r="840" ht="12.75" customHeight="1">
      <c r="G840" s="17"/>
      <c r="I840" s="18"/>
      <c r="N840" s="16"/>
      <c r="O840" s="16"/>
      <c r="P840" s="16"/>
      <c r="Q840" s="16"/>
      <c r="R840" s="16"/>
      <c r="S840" s="16"/>
    </row>
    <row r="841" ht="12.75" customHeight="1">
      <c r="G841" s="17"/>
      <c r="I841" s="18"/>
      <c r="N841" s="16"/>
      <c r="O841" s="16"/>
      <c r="P841" s="16"/>
      <c r="Q841" s="16"/>
      <c r="R841" s="16"/>
      <c r="S841" s="16"/>
    </row>
    <row r="842" ht="12.75" customHeight="1">
      <c r="G842" s="17"/>
      <c r="I842" s="18"/>
      <c r="N842" s="16"/>
      <c r="O842" s="16"/>
      <c r="P842" s="16"/>
      <c r="Q842" s="16"/>
      <c r="R842" s="16"/>
      <c r="S842" s="16"/>
    </row>
    <row r="843" ht="12.75" customHeight="1">
      <c r="G843" s="17"/>
      <c r="I843" s="18"/>
      <c r="N843" s="16"/>
      <c r="O843" s="16"/>
      <c r="P843" s="16"/>
      <c r="Q843" s="16"/>
      <c r="R843" s="16"/>
      <c r="S843" s="16"/>
    </row>
    <row r="844" ht="12.75" customHeight="1">
      <c r="G844" s="17"/>
      <c r="I844" s="18"/>
      <c r="N844" s="16"/>
      <c r="O844" s="16"/>
      <c r="P844" s="16"/>
      <c r="Q844" s="16"/>
      <c r="R844" s="16"/>
      <c r="S844" s="16"/>
    </row>
    <row r="845" ht="12.75" customHeight="1">
      <c r="G845" s="17"/>
      <c r="I845" s="18"/>
      <c r="N845" s="16"/>
      <c r="O845" s="16"/>
      <c r="P845" s="16"/>
      <c r="Q845" s="16"/>
      <c r="R845" s="16"/>
      <c r="S845" s="16"/>
    </row>
    <row r="846" ht="12.75" customHeight="1">
      <c r="G846" s="17"/>
      <c r="I846" s="18"/>
      <c r="N846" s="16"/>
      <c r="O846" s="16"/>
      <c r="P846" s="16"/>
      <c r="Q846" s="16"/>
      <c r="R846" s="16"/>
      <c r="S846" s="16"/>
    </row>
    <row r="847" ht="12.75" customHeight="1">
      <c r="G847" s="17"/>
      <c r="I847" s="18"/>
      <c r="N847" s="16"/>
      <c r="O847" s="16"/>
      <c r="P847" s="16"/>
      <c r="Q847" s="16"/>
      <c r="R847" s="16"/>
      <c r="S847" s="16"/>
    </row>
    <row r="848" ht="12.75" customHeight="1">
      <c r="G848" s="17"/>
      <c r="I848" s="18"/>
      <c r="N848" s="16"/>
      <c r="O848" s="16"/>
      <c r="P848" s="16"/>
      <c r="Q848" s="16"/>
      <c r="R848" s="16"/>
      <c r="S848" s="16"/>
    </row>
    <row r="849" ht="12.75" customHeight="1">
      <c r="G849" s="17"/>
      <c r="I849" s="18"/>
      <c r="N849" s="16"/>
      <c r="O849" s="16"/>
      <c r="P849" s="16"/>
      <c r="Q849" s="16"/>
      <c r="R849" s="16"/>
      <c r="S849" s="16"/>
    </row>
    <row r="850" ht="12.75" customHeight="1">
      <c r="G850" s="17"/>
      <c r="I850" s="18"/>
      <c r="N850" s="16"/>
      <c r="O850" s="16"/>
      <c r="P850" s="16"/>
      <c r="Q850" s="16"/>
      <c r="R850" s="16"/>
      <c r="S850" s="16"/>
    </row>
    <row r="851" ht="12.75" customHeight="1">
      <c r="G851" s="17"/>
      <c r="I851" s="18"/>
      <c r="N851" s="16"/>
      <c r="O851" s="16"/>
      <c r="P851" s="16"/>
      <c r="Q851" s="16"/>
      <c r="R851" s="16"/>
      <c r="S851" s="16"/>
    </row>
    <row r="852" ht="12.75" customHeight="1">
      <c r="G852" s="17"/>
      <c r="I852" s="18"/>
      <c r="N852" s="16"/>
      <c r="O852" s="16"/>
      <c r="P852" s="16"/>
      <c r="Q852" s="16"/>
      <c r="R852" s="16"/>
      <c r="S852" s="16"/>
    </row>
    <row r="853" ht="12.75" customHeight="1">
      <c r="G853" s="17"/>
      <c r="I853" s="18"/>
      <c r="N853" s="16"/>
      <c r="O853" s="16"/>
      <c r="P853" s="16"/>
      <c r="Q853" s="16"/>
      <c r="R853" s="16"/>
      <c r="S853" s="16"/>
    </row>
    <row r="854" ht="12.75" customHeight="1">
      <c r="G854" s="17"/>
      <c r="I854" s="18"/>
      <c r="N854" s="16"/>
      <c r="O854" s="16"/>
      <c r="P854" s="16"/>
      <c r="Q854" s="16"/>
      <c r="R854" s="16"/>
      <c r="S854" s="16"/>
    </row>
    <row r="855" ht="12.75" customHeight="1">
      <c r="G855" s="17"/>
      <c r="I855" s="18"/>
      <c r="N855" s="16"/>
      <c r="O855" s="16"/>
      <c r="P855" s="16"/>
      <c r="Q855" s="16"/>
      <c r="R855" s="16"/>
      <c r="S855" s="16"/>
    </row>
    <row r="856" ht="12.75" customHeight="1">
      <c r="G856" s="17"/>
      <c r="I856" s="18"/>
      <c r="N856" s="16"/>
      <c r="O856" s="16"/>
      <c r="P856" s="16"/>
      <c r="Q856" s="16"/>
      <c r="R856" s="16"/>
      <c r="S856" s="16"/>
    </row>
    <row r="857" ht="12.75" customHeight="1">
      <c r="G857" s="17"/>
      <c r="I857" s="18"/>
      <c r="N857" s="16"/>
      <c r="O857" s="16"/>
      <c r="P857" s="16"/>
      <c r="Q857" s="16"/>
      <c r="R857" s="16"/>
      <c r="S857" s="16"/>
    </row>
    <row r="858" ht="12.75" customHeight="1">
      <c r="G858" s="17"/>
      <c r="I858" s="18"/>
      <c r="N858" s="16"/>
      <c r="O858" s="16"/>
      <c r="P858" s="16"/>
      <c r="Q858" s="16"/>
      <c r="R858" s="16"/>
      <c r="S858" s="16"/>
    </row>
    <row r="859" ht="12.75" customHeight="1">
      <c r="G859" s="17"/>
      <c r="I859" s="18"/>
      <c r="N859" s="16"/>
      <c r="O859" s="16"/>
      <c r="P859" s="16"/>
      <c r="Q859" s="16"/>
      <c r="R859" s="16"/>
      <c r="S859" s="16"/>
    </row>
    <row r="860" ht="12.75" customHeight="1">
      <c r="G860" s="17"/>
      <c r="I860" s="18"/>
      <c r="N860" s="16"/>
      <c r="O860" s="16"/>
      <c r="P860" s="16"/>
      <c r="Q860" s="16"/>
      <c r="R860" s="16"/>
      <c r="S860" s="16"/>
    </row>
    <row r="861" ht="12.75" customHeight="1">
      <c r="G861" s="17"/>
      <c r="I861" s="18"/>
      <c r="N861" s="16"/>
      <c r="O861" s="16"/>
      <c r="P861" s="16"/>
      <c r="Q861" s="16"/>
      <c r="R861" s="16"/>
      <c r="S861" s="16"/>
    </row>
    <row r="862" ht="12.75" customHeight="1">
      <c r="G862" s="17"/>
      <c r="I862" s="18"/>
      <c r="N862" s="16"/>
      <c r="O862" s="16"/>
      <c r="P862" s="16"/>
      <c r="Q862" s="16"/>
      <c r="R862" s="16"/>
      <c r="S862" s="16"/>
    </row>
    <row r="863" ht="12.75" customHeight="1">
      <c r="G863" s="17"/>
      <c r="I863" s="18"/>
      <c r="N863" s="16"/>
      <c r="O863" s="16"/>
      <c r="P863" s="16"/>
      <c r="Q863" s="16"/>
      <c r="R863" s="16"/>
      <c r="S863" s="16"/>
    </row>
    <row r="864" ht="12.75" customHeight="1">
      <c r="G864" s="17"/>
      <c r="I864" s="18"/>
      <c r="N864" s="16"/>
      <c r="O864" s="16"/>
      <c r="P864" s="16"/>
      <c r="Q864" s="16"/>
      <c r="R864" s="16"/>
      <c r="S864" s="16"/>
    </row>
    <row r="865" ht="12.75" customHeight="1">
      <c r="G865" s="17"/>
      <c r="I865" s="18"/>
      <c r="N865" s="16"/>
      <c r="O865" s="16"/>
      <c r="P865" s="16"/>
      <c r="Q865" s="16"/>
      <c r="R865" s="16"/>
      <c r="S865" s="16"/>
    </row>
    <row r="866" ht="12.75" customHeight="1">
      <c r="G866" s="17"/>
      <c r="I866" s="18"/>
      <c r="N866" s="16"/>
      <c r="O866" s="16"/>
      <c r="P866" s="16"/>
      <c r="Q866" s="16"/>
      <c r="R866" s="16"/>
      <c r="S866" s="16"/>
    </row>
    <row r="867" ht="12.75" customHeight="1">
      <c r="G867" s="17"/>
      <c r="I867" s="18"/>
      <c r="N867" s="16"/>
      <c r="O867" s="16"/>
      <c r="P867" s="16"/>
      <c r="Q867" s="16"/>
      <c r="R867" s="16"/>
      <c r="S867" s="16"/>
    </row>
    <row r="868" ht="12.75" customHeight="1">
      <c r="G868" s="17"/>
      <c r="I868" s="18"/>
      <c r="N868" s="16"/>
      <c r="O868" s="16"/>
      <c r="P868" s="16"/>
      <c r="Q868" s="16"/>
      <c r="R868" s="16"/>
      <c r="S868" s="16"/>
    </row>
    <row r="869" ht="12.75" customHeight="1">
      <c r="G869" s="17"/>
      <c r="I869" s="18"/>
      <c r="N869" s="16"/>
      <c r="O869" s="16"/>
      <c r="P869" s="16"/>
      <c r="Q869" s="16"/>
      <c r="R869" s="16"/>
      <c r="S869" s="16"/>
    </row>
    <row r="870" ht="12.75" customHeight="1">
      <c r="G870" s="17"/>
      <c r="I870" s="18"/>
      <c r="N870" s="16"/>
      <c r="O870" s="16"/>
      <c r="P870" s="16"/>
      <c r="Q870" s="16"/>
      <c r="R870" s="16"/>
      <c r="S870" s="16"/>
    </row>
    <row r="871" ht="12.75" customHeight="1">
      <c r="G871" s="17"/>
      <c r="I871" s="18"/>
      <c r="N871" s="16"/>
      <c r="O871" s="16"/>
      <c r="P871" s="16"/>
      <c r="Q871" s="16"/>
      <c r="R871" s="16"/>
      <c r="S871" s="16"/>
    </row>
    <row r="872" ht="12.75" customHeight="1">
      <c r="G872" s="17"/>
      <c r="I872" s="18"/>
      <c r="N872" s="16"/>
      <c r="O872" s="16"/>
      <c r="P872" s="16"/>
      <c r="Q872" s="16"/>
      <c r="R872" s="16"/>
      <c r="S872" s="16"/>
    </row>
    <row r="873" ht="12.75" customHeight="1">
      <c r="G873" s="17"/>
      <c r="I873" s="18"/>
      <c r="N873" s="16"/>
      <c r="O873" s="16"/>
      <c r="P873" s="16"/>
      <c r="Q873" s="16"/>
      <c r="R873" s="16"/>
      <c r="S873" s="16"/>
    </row>
    <row r="874" ht="12.75" customHeight="1">
      <c r="G874" s="17"/>
      <c r="I874" s="18"/>
      <c r="N874" s="16"/>
      <c r="O874" s="16"/>
      <c r="P874" s="16"/>
      <c r="Q874" s="16"/>
      <c r="R874" s="16"/>
      <c r="S874" s="16"/>
    </row>
    <row r="875" ht="12.75" customHeight="1">
      <c r="G875" s="17"/>
      <c r="I875" s="18"/>
      <c r="N875" s="16"/>
      <c r="O875" s="16"/>
      <c r="P875" s="16"/>
      <c r="Q875" s="16"/>
      <c r="R875" s="16"/>
      <c r="S875" s="16"/>
    </row>
    <row r="876" ht="12.75" customHeight="1">
      <c r="G876" s="17"/>
      <c r="I876" s="18"/>
      <c r="N876" s="16"/>
      <c r="O876" s="16"/>
      <c r="P876" s="16"/>
      <c r="Q876" s="16"/>
      <c r="R876" s="16"/>
      <c r="S876" s="16"/>
    </row>
    <row r="877" ht="12.75" customHeight="1">
      <c r="G877" s="17"/>
      <c r="I877" s="18"/>
      <c r="N877" s="16"/>
      <c r="O877" s="16"/>
      <c r="P877" s="16"/>
      <c r="Q877" s="16"/>
      <c r="R877" s="16"/>
      <c r="S877" s="16"/>
    </row>
    <row r="878" ht="12.75" customHeight="1">
      <c r="G878" s="17"/>
      <c r="I878" s="18"/>
      <c r="N878" s="16"/>
      <c r="O878" s="16"/>
      <c r="P878" s="16"/>
      <c r="Q878" s="16"/>
      <c r="R878" s="16"/>
      <c r="S878" s="16"/>
    </row>
    <row r="879" ht="12.75" customHeight="1">
      <c r="G879" s="17"/>
      <c r="I879" s="18"/>
      <c r="N879" s="16"/>
      <c r="O879" s="16"/>
      <c r="P879" s="16"/>
      <c r="Q879" s="16"/>
      <c r="R879" s="16"/>
      <c r="S879" s="16"/>
    </row>
    <row r="880" ht="12.75" customHeight="1">
      <c r="G880" s="17"/>
      <c r="I880" s="18"/>
      <c r="N880" s="16"/>
      <c r="O880" s="16"/>
      <c r="P880" s="16"/>
      <c r="Q880" s="16"/>
      <c r="R880" s="16"/>
      <c r="S880" s="16"/>
    </row>
    <row r="881" ht="12.75" customHeight="1">
      <c r="G881" s="17"/>
      <c r="I881" s="18"/>
      <c r="N881" s="16"/>
      <c r="O881" s="16"/>
      <c r="P881" s="16"/>
      <c r="Q881" s="16"/>
      <c r="R881" s="16"/>
      <c r="S881" s="16"/>
    </row>
    <row r="882" ht="12.75" customHeight="1">
      <c r="G882" s="17"/>
      <c r="I882" s="18"/>
      <c r="N882" s="16"/>
      <c r="O882" s="16"/>
      <c r="P882" s="16"/>
      <c r="Q882" s="16"/>
      <c r="R882" s="16"/>
      <c r="S882" s="16"/>
    </row>
    <row r="883" ht="12.75" customHeight="1">
      <c r="G883" s="17"/>
      <c r="I883" s="18"/>
      <c r="N883" s="16"/>
      <c r="O883" s="16"/>
      <c r="P883" s="16"/>
      <c r="Q883" s="16"/>
      <c r="R883" s="16"/>
      <c r="S883" s="16"/>
    </row>
    <row r="884" ht="12.75" customHeight="1">
      <c r="G884" s="17"/>
      <c r="I884" s="18"/>
      <c r="N884" s="16"/>
      <c r="O884" s="16"/>
      <c r="P884" s="16"/>
      <c r="Q884" s="16"/>
      <c r="R884" s="16"/>
      <c r="S884" s="16"/>
    </row>
    <row r="885" ht="12.75" customHeight="1">
      <c r="G885" s="17"/>
      <c r="I885" s="18"/>
      <c r="N885" s="16"/>
      <c r="O885" s="16"/>
      <c r="P885" s="16"/>
      <c r="Q885" s="16"/>
      <c r="R885" s="16"/>
      <c r="S885" s="16"/>
    </row>
    <row r="886" ht="12.75" customHeight="1">
      <c r="G886" s="17"/>
      <c r="I886" s="18"/>
      <c r="N886" s="16"/>
      <c r="O886" s="16"/>
      <c r="P886" s="16"/>
      <c r="Q886" s="16"/>
      <c r="R886" s="16"/>
      <c r="S886" s="16"/>
    </row>
    <row r="887" ht="12.75" customHeight="1">
      <c r="G887" s="17"/>
      <c r="I887" s="18"/>
      <c r="N887" s="16"/>
      <c r="O887" s="16"/>
      <c r="P887" s="16"/>
      <c r="Q887" s="16"/>
      <c r="R887" s="16"/>
      <c r="S887" s="16"/>
    </row>
    <row r="888" ht="12.75" customHeight="1">
      <c r="G888" s="17"/>
      <c r="I888" s="18"/>
      <c r="N888" s="16"/>
      <c r="O888" s="16"/>
      <c r="P888" s="16"/>
      <c r="Q888" s="16"/>
      <c r="R888" s="16"/>
      <c r="S888" s="16"/>
    </row>
    <row r="889" ht="12.75" customHeight="1">
      <c r="G889" s="17"/>
      <c r="I889" s="18"/>
      <c r="N889" s="16"/>
      <c r="O889" s="16"/>
      <c r="P889" s="16"/>
      <c r="Q889" s="16"/>
      <c r="R889" s="16"/>
      <c r="S889" s="16"/>
    </row>
    <row r="890" ht="12.75" customHeight="1">
      <c r="G890" s="17"/>
      <c r="I890" s="18"/>
      <c r="N890" s="16"/>
      <c r="O890" s="16"/>
      <c r="P890" s="16"/>
      <c r="Q890" s="16"/>
      <c r="R890" s="16"/>
      <c r="S890" s="16"/>
    </row>
    <row r="891" ht="12.75" customHeight="1">
      <c r="G891" s="17"/>
      <c r="I891" s="18"/>
      <c r="N891" s="16"/>
      <c r="O891" s="16"/>
      <c r="P891" s="16"/>
      <c r="Q891" s="16"/>
      <c r="R891" s="16"/>
      <c r="S891" s="16"/>
    </row>
    <row r="892" ht="12.75" customHeight="1">
      <c r="G892" s="17"/>
      <c r="I892" s="18"/>
      <c r="N892" s="16"/>
      <c r="O892" s="16"/>
      <c r="P892" s="16"/>
      <c r="Q892" s="16"/>
      <c r="R892" s="16"/>
      <c r="S892" s="16"/>
    </row>
    <row r="893" ht="12.75" customHeight="1">
      <c r="G893" s="17"/>
      <c r="I893" s="18"/>
      <c r="N893" s="16"/>
      <c r="O893" s="16"/>
      <c r="P893" s="16"/>
      <c r="Q893" s="16"/>
      <c r="R893" s="16"/>
      <c r="S893" s="16"/>
    </row>
    <row r="894" ht="12.75" customHeight="1">
      <c r="G894" s="17"/>
      <c r="I894" s="18"/>
      <c r="N894" s="16"/>
      <c r="O894" s="16"/>
      <c r="P894" s="16"/>
      <c r="Q894" s="16"/>
      <c r="R894" s="16"/>
      <c r="S894" s="16"/>
    </row>
    <row r="895" ht="12.75" customHeight="1">
      <c r="G895" s="17"/>
      <c r="I895" s="18"/>
      <c r="N895" s="16"/>
      <c r="O895" s="16"/>
      <c r="P895" s="16"/>
      <c r="Q895" s="16"/>
      <c r="R895" s="16"/>
      <c r="S895" s="16"/>
    </row>
    <row r="896" ht="12.75" customHeight="1">
      <c r="G896" s="17"/>
      <c r="I896" s="18"/>
      <c r="N896" s="16"/>
      <c r="O896" s="16"/>
      <c r="P896" s="16"/>
      <c r="Q896" s="16"/>
      <c r="R896" s="16"/>
      <c r="S896" s="16"/>
    </row>
    <row r="897" ht="12.75" customHeight="1">
      <c r="G897" s="17"/>
      <c r="I897" s="18"/>
      <c r="N897" s="16"/>
      <c r="O897" s="16"/>
      <c r="P897" s="16"/>
      <c r="Q897" s="16"/>
      <c r="R897" s="16"/>
      <c r="S897" s="16"/>
    </row>
    <row r="898" ht="12.75" customHeight="1">
      <c r="G898" s="17"/>
      <c r="I898" s="18"/>
      <c r="N898" s="16"/>
      <c r="O898" s="16"/>
      <c r="P898" s="16"/>
      <c r="Q898" s="16"/>
      <c r="R898" s="16"/>
      <c r="S898" s="16"/>
    </row>
    <row r="899" ht="12.75" customHeight="1">
      <c r="G899" s="17"/>
      <c r="I899" s="18"/>
      <c r="N899" s="16"/>
      <c r="O899" s="16"/>
      <c r="P899" s="16"/>
      <c r="Q899" s="16"/>
      <c r="R899" s="16"/>
      <c r="S899" s="16"/>
    </row>
    <row r="900" ht="12.75" customHeight="1">
      <c r="G900" s="17"/>
      <c r="I900" s="18"/>
      <c r="N900" s="16"/>
      <c r="O900" s="16"/>
      <c r="P900" s="16"/>
      <c r="Q900" s="16"/>
      <c r="R900" s="16"/>
      <c r="S900" s="16"/>
    </row>
    <row r="901" ht="12.75" customHeight="1">
      <c r="G901" s="17"/>
      <c r="I901" s="18"/>
      <c r="N901" s="16"/>
      <c r="O901" s="16"/>
      <c r="P901" s="16"/>
      <c r="Q901" s="16"/>
      <c r="R901" s="16"/>
      <c r="S901" s="16"/>
    </row>
    <row r="902" ht="12.75" customHeight="1">
      <c r="G902" s="17"/>
      <c r="I902" s="18"/>
      <c r="N902" s="16"/>
      <c r="O902" s="16"/>
      <c r="P902" s="16"/>
      <c r="Q902" s="16"/>
      <c r="R902" s="16"/>
      <c r="S902" s="16"/>
    </row>
    <row r="903" ht="12.75" customHeight="1">
      <c r="G903" s="17"/>
      <c r="I903" s="18"/>
      <c r="N903" s="16"/>
      <c r="O903" s="16"/>
      <c r="P903" s="16"/>
      <c r="Q903" s="16"/>
      <c r="R903" s="16"/>
      <c r="S903" s="16"/>
    </row>
    <row r="904" ht="12.75" customHeight="1">
      <c r="G904" s="17"/>
      <c r="I904" s="18"/>
      <c r="N904" s="16"/>
      <c r="O904" s="16"/>
      <c r="P904" s="16"/>
      <c r="Q904" s="16"/>
      <c r="R904" s="16"/>
      <c r="S904" s="16"/>
    </row>
    <row r="905" ht="12.75" customHeight="1">
      <c r="G905" s="17"/>
      <c r="I905" s="18"/>
      <c r="N905" s="16"/>
      <c r="O905" s="16"/>
      <c r="P905" s="16"/>
      <c r="Q905" s="16"/>
      <c r="R905" s="16"/>
      <c r="S905" s="16"/>
    </row>
    <row r="906" ht="12.75" customHeight="1">
      <c r="G906" s="17"/>
      <c r="I906" s="18"/>
      <c r="N906" s="16"/>
      <c r="O906" s="16"/>
      <c r="P906" s="16"/>
      <c r="Q906" s="16"/>
      <c r="R906" s="16"/>
      <c r="S906" s="16"/>
    </row>
    <row r="907" ht="12.75" customHeight="1">
      <c r="G907" s="17"/>
      <c r="I907" s="18"/>
      <c r="N907" s="16"/>
      <c r="O907" s="16"/>
      <c r="P907" s="16"/>
      <c r="Q907" s="16"/>
      <c r="R907" s="16"/>
      <c r="S907" s="16"/>
    </row>
    <row r="908" ht="12.75" customHeight="1">
      <c r="G908" s="17"/>
      <c r="I908" s="18"/>
      <c r="N908" s="16"/>
      <c r="O908" s="16"/>
      <c r="P908" s="16"/>
      <c r="Q908" s="16"/>
      <c r="R908" s="16"/>
      <c r="S908" s="16"/>
    </row>
    <row r="909" ht="12.75" customHeight="1">
      <c r="G909" s="17"/>
      <c r="I909" s="18"/>
      <c r="N909" s="16"/>
      <c r="O909" s="16"/>
      <c r="P909" s="16"/>
      <c r="Q909" s="16"/>
      <c r="R909" s="16"/>
      <c r="S909" s="16"/>
    </row>
    <row r="910" ht="12.75" customHeight="1">
      <c r="G910" s="17"/>
      <c r="I910" s="18"/>
      <c r="N910" s="16"/>
      <c r="O910" s="16"/>
      <c r="P910" s="16"/>
      <c r="Q910" s="16"/>
      <c r="R910" s="16"/>
      <c r="S910" s="16"/>
    </row>
    <row r="911" ht="12.75" customHeight="1">
      <c r="G911" s="17"/>
      <c r="I911" s="18"/>
      <c r="N911" s="16"/>
      <c r="O911" s="16"/>
      <c r="P911" s="16"/>
      <c r="Q911" s="16"/>
      <c r="R911" s="16"/>
      <c r="S911" s="16"/>
    </row>
    <row r="912" ht="12.75" customHeight="1">
      <c r="G912" s="17"/>
      <c r="I912" s="18"/>
      <c r="N912" s="16"/>
      <c r="O912" s="16"/>
      <c r="P912" s="16"/>
      <c r="Q912" s="16"/>
      <c r="R912" s="16"/>
      <c r="S912" s="16"/>
    </row>
    <row r="913" ht="12.75" customHeight="1">
      <c r="G913" s="17"/>
      <c r="I913" s="18"/>
      <c r="N913" s="16"/>
      <c r="O913" s="16"/>
      <c r="P913" s="16"/>
      <c r="Q913" s="16"/>
      <c r="R913" s="16"/>
      <c r="S913" s="16"/>
    </row>
    <row r="914" ht="12.75" customHeight="1">
      <c r="G914" s="17"/>
      <c r="I914" s="18"/>
      <c r="N914" s="16"/>
      <c r="O914" s="16"/>
      <c r="P914" s="16"/>
      <c r="Q914" s="16"/>
      <c r="R914" s="16"/>
      <c r="S914" s="16"/>
    </row>
    <row r="915" ht="12.75" customHeight="1">
      <c r="G915" s="17"/>
      <c r="I915" s="18"/>
      <c r="N915" s="16"/>
      <c r="O915" s="16"/>
      <c r="P915" s="16"/>
      <c r="Q915" s="16"/>
      <c r="R915" s="16"/>
      <c r="S915" s="16"/>
    </row>
    <row r="916" ht="12.75" customHeight="1">
      <c r="G916" s="17"/>
      <c r="I916" s="18"/>
      <c r="N916" s="16"/>
      <c r="O916" s="16"/>
      <c r="P916" s="16"/>
      <c r="Q916" s="16"/>
      <c r="R916" s="16"/>
      <c r="S916" s="16"/>
    </row>
    <row r="917" ht="12.75" customHeight="1">
      <c r="G917" s="17"/>
      <c r="I917" s="18"/>
      <c r="N917" s="16"/>
      <c r="O917" s="16"/>
      <c r="P917" s="16"/>
      <c r="Q917" s="16"/>
      <c r="R917" s="16"/>
      <c r="S917" s="16"/>
    </row>
    <row r="918" ht="12.75" customHeight="1">
      <c r="G918" s="17"/>
      <c r="I918" s="18"/>
      <c r="N918" s="16"/>
      <c r="O918" s="16"/>
      <c r="P918" s="16"/>
      <c r="Q918" s="16"/>
      <c r="R918" s="16"/>
      <c r="S918" s="16"/>
    </row>
    <row r="919" ht="12.75" customHeight="1">
      <c r="G919" s="17"/>
      <c r="I919" s="18"/>
      <c r="N919" s="16"/>
      <c r="O919" s="16"/>
      <c r="P919" s="16"/>
      <c r="Q919" s="16"/>
      <c r="R919" s="16"/>
      <c r="S919" s="16"/>
    </row>
    <row r="920" ht="12.75" customHeight="1">
      <c r="G920" s="17"/>
      <c r="I920" s="18"/>
      <c r="N920" s="16"/>
      <c r="O920" s="16"/>
      <c r="P920" s="16"/>
      <c r="Q920" s="16"/>
      <c r="R920" s="16"/>
      <c r="S920" s="16"/>
    </row>
    <row r="921" ht="12.75" customHeight="1">
      <c r="G921" s="17"/>
      <c r="I921" s="18"/>
      <c r="N921" s="16"/>
      <c r="O921" s="16"/>
      <c r="P921" s="16"/>
      <c r="Q921" s="16"/>
      <c r="R921" s="16"/>
      <c r="S921" s="16"/>
    </row>
    <row r="922" ht="12.75" customHeight="1">
      <c r="G922" s="17"/>
      <c r="I922" s="18"/>
      <c r="N922" s="16"/>
      <c r="O922" s="16"/>
      <c r="P922" s="16"/>
      <c r="Q922" s="16"/>
      <c r="R922" s="16"/>
      <c r="S922" s="16"/>
    </row>
    <row r="923" ht="12.75" customHeight="1">
      <c r="G923" s="17"/>
      <c r="I923" s="18"/>
      <c r="N923" s="16"/>
      <c r="O923" s="16"/>
      <c r="P923" s="16"/>
      <c r="Q923" s="16"/>
      <c r="R923" s="16"/>
      <c r="S923" s="16"/>
    </row>
    <row r="924" ht="12.75" customHeight="1">
      <c r="G924" s="17"/>
      <c r="I924" s="18"/>
      <c r="N924" s="16"/>
      <c r="O924" s="16"/>
      <c r="P924" s="16"/>
      <c r="Q924" s="16"/>
      <c r="R924" s="16"/>
      <c r="S924" s="16"/>
    </row>
    <row r="925" ht="12.75" customHeight="1">
      <c r="G925" s="17"/>
      <c r="I925" s="18"/>
      <c r="N925" s="16"/>
      <c r="O925" s="16"/>
      <c r="P925" s="16"/>
      <c r="Q925" s="16"/>
      <c r="R925" s="16"/>
      <c r="S925" s="16"/>
    </row>
    <row r="926" ht="12.75" customHeight="1">
      <c r="G926" s="17"/>
      <c r="I926" s="18"/>
      <c r="N926" s="16"/>
      <c r="O926" s="16"/>
      <c r="P926" s="16"/>
      <c r="Q926" s="16"/>
      <c r="R926" s="16"/>
      <c r="S926" s="16"/>
    </row>
    <row r="927" ht="12.75" customHeight="1">
      <c r="G927" s="17"/>
      <c r="I927" s="18"/>
      <c r="N927" s="16"/>
      <c r="O927" s="16"/>
      <c r="P927" s="16"/>
      <c r="Q927" s="16"/>
      <c r="R927" s="16"/>
      <c r="S927" s="16"/>
    </row>
    <row r="928" ht="12.75" customHeight="1">
      <c r="G928" s="17"/>
      <c r="I928" s="18"/>
      <c r="N928" s="16"/>
      <c r="O928" s="16"/>
      <c r="P928" s="16"/>
      <c r="Q928" s="16"/>
      <c r="R928" s="16"/>
      <c r="S928" s="16"/>
    </row>
    <row r="929" ht="12.75" customHeight="1">
      <c r="G929" s="17"/>
      <c r="I929" s="18"/>
      <c r="N929" s="16"/>
      <c r="O929" s="16"/>
      <c r="P929" s="16"/>
      <c r="Q929" s="16"/>
      <c r="R929" s="16"/>
      <c r="S929" s="16"/>
    </row>
    <row r="930" ht="12.75" customHeight="1">
      <c r="G930" s="17"/>
      <c r="I930" s="18"/>
      <c r="N930" s="16"/>
      <c r="O930" s="16"/>
      <c r="P930" s="16"/>
      <c r="Q930" s="16"/>
      <c r="R930" s="16"/>
      <c r="S930" s="16"/>
    </row>
    <row r="931" ht="12.75" customHeight="1">
      <c r="G931" s="17"/>
      <c r="I931" s="18"/>
      <c r="N931" s="16"/>
      <c r="O931" s="16"/>
      <c r="P931" s="16"/>
      <c r="Q931" s="16"/>
      <c r="R931" s="16"/>
      <c r="S931" s="16"/>
    </row>
    <row r="932" ht="12.75" customHeight="1">
      <c r="G932" s="17"/>
      <c r="I932" s="18"/>
      <c r="N932" s="16"/>
      <c r="O932" s="16"/>
      <c r="P932" s="16"/>
      <c r="Q932" s="16"/>
      <c r="R932" s="16"/>
      <c r="S932" s="16"/>
    </row>
    <row r="933" ht="12.75" customHeight="1">
      <c r="G933" s="17"/>
      <c r="I933" s="18"/>
      <c r="N933" s="16"/>
      <c r="O933" s="16"/>
      <c r="P933" s="16"/>
      <c r="Q933" s="16"/>
      <c r="R933" s="16"/>
      <c r="S933" s="16"/>
    </row>
    <row r="934" ht="12.75" customHeight="1">
      <c r="G934" s="17"/>
      <c r="I934" s="18"/>
      <c r="N934" s="16"/>
      <c r="O934" s="16"/>
      <c r="P934" s="16"/>
      <c r="Q934" s="16"/>
      <c r="R934" s="16"/>
      <c r="S934" s="16"/>
    </row>
    <row r="935" ht="12.75" customHeight="1">
      <c r="G935" s="17"/>
      <c r="I935" s="18"/>
      <c r="N935" s="16"/>
      <c r="O935" s="16"/>
      <c r="P935" s="16"/>
      <c r="Q935" s="16"/>
      <c r="R935" s="16"/>
      <c r="S935" s="16"/>
    </row>
    <row r="936" ht="12.75" customHeight="1">
      <c r="G936" s="17"/>
      <c r="I936" s="18"/>
      <c r="N936" s="16"/>
      <c r="O936" s="16"/>
      <c r="P936" s="16"/>
      <c r="Q936" s="16"/>
      <c r="R936" s="16"/>
      <c r="S936" s="16"/>
    </row>
    <row r="937" ht="12.75" customHeight="1">
      <c r="G937" s="17"/>
      <c r="I937" s="18"/>
      <c r="N937" s="16"/>
      <c r="O937" s="16"/>
      <c r="P937" s="16"/>
      <c r="Q937" s="16"/>
      <c r="R937" s="16"/>
      <c r="S937" s="16"/>
    </row>
    <row r="938" ht="12.75" customHeight="1">
      <c r="G938" s="17"/>
      <c r="I938" s="18"/>
      <c r="N938" s="16"/>
      <c r="O938" s="16"/>
      <c r="P938" s="16"/>
      <c r="Q938" s="16"/>
      <c r="R938" s="16"/>
      <c r="S938" s="16"/>
    </row>
    <row r="939" ht="12.75" customHeight="1">
      <c r="G939" s="17"/>
      <c r="I939" s="18"/>
      <c r="N939" s="16"/>
      <c r="O939" s="16"/>
      <c r="P939" s="16"/>
      <c r="Q939" s="16"/>
      <c r="R939" s="16"/>
      <c r="S939" s="16"/>
    </row>
    <row r="940" ht="12.75" customHeight="1">
      <c r="G940" s="17"/>
      <c r="I940" s="18"/>
      <c r="N940" s="16"/>
      <c r="O940" s="16"/>
      <c r="P940" s="16"/>
      <c r="Q940" s="16"/>
      <c r="R940" s="16"/>
      <c r="S940" s="16"/>
    </row>
    <row r="941" ht="12.75" customHeight="1">
      <c r="G941" s="17"/>
      <c r="I941" s="18"/>
      <c r="N941" s="16"/>
      <c r="O941" s="16"/>
      <c r="P941" s="16"/>
      <c r="Q941" s="16"/>
      <c r="R941" s="16"/>
      <c r="S941" s="16"/>
    </row>
    <row r="942" ht="12.75" customHeight="1">
      <c r="G942" s="17"/>
      <c r="I942" s="18"/>
      <c r="N942" s="16"/>
      <c r="O942" s="16"/>
      <c r="P942" s="16"/>
      <c r="Q942" s="16"/>
      <c r="R942" s="16"/>
      <c r="S942" s="16"/>
    </row>
    <row r="943" ht="12.75" customHeight="1">
      <c r="G943" s="17"/>
      <c r="I943" s="18"/>
      <c r="N943" s="16"/>
      <c r="O943" s="16"/>
      <c r="P943" s="16"/>
      <c r="Q943" s="16"/>
      <c r="R943" s="16"/>
      <c r="S943" s="16"/>
    </row>
    <row r="944" ht="12.75" customHeight="1">
      <c r="G944" s="17"/>
      <c r="I944" s="18"/>
      <c r="N944" s="16"/>
      <c r="O944" s="16"/>
      <c r="P944" s="16"/>
      <c r="Q944" s="16"/>
      <c r="R944" s="16"/>
      <c r="S944" s="16"/>
    </row>
    <row r="945" ht="12.75" customHeight="1">
      <c r="G945" s="17"/>
      <c r="I945" s="18"/>
      <c r="N945" s="16"/>
      <c r="O945" s="16"/>
      <c r="P945" s="16"/>
      <c r="Q945" s="16"/>
      <c r="R945" s="16"/>
      <c r="S945" s="16"/>
    </row>
    <row r="946" ht="12.75" customHeight="1">
      <c r="G946" s="17"/>
      <c r="I946" s="18"/>
      <c r="N946" s="16"/>
      <c r="O946" s="16"/>
      <c r="P946" s="16"/>
      <c r="Q946" s="16"/>
      <c r="R946" s="16"/>
      <c r="S946" s="16"/>
    </row>
    <row r="947" ht="12.75" customHeight="1">
      <c r="G947" s="17"/>
      <c r="I947" s="18"/>
      <c r="N947" s="16"/>
      <c r="O947" s="16"/>
      <c r="P947" s="16"/>
      <c r="Q947" s="16"/>
      <c r="R947" s="16"/>
      <c r="S947" s="16"/>
    </row>
    <row r="948" ht="12.75" customHeight="1">
      <c r="G948" s="17"/>
      <c r="I948" s="18"/>
      <c r="N948" s="16"/>
      <c r="O948" s="16"/>
      <c r="P948" s="16"/>
      <c r="Q948" s="16"/>
      <c r="R948" s="16"/>
      <c r="S948" s="16"/>
    </row>
    <row r="949" ht="12.75" customHeight="1">
      <c r="G949" s="17"/>
      <c r="I949" s="18"/>
      <c r="N949" s="16"/>
      <c r="O949" s="16"/>
      <c r="P949" s="16"/>
      <c r="Q949" s="16"/>
      <c r="R949" s="16"/>
      <c r="S949" s="16"/>
    </row>
    <row r="950" ht="12.75" customHeight="1">
      <c r="G950" s="17"/>
      <c r="I950" s="18"/>
      <c r="N950" s="16"/>
      <c r="O950" s="16"/>
      <c r="P950" s="16"/>
      <c r="Q950" s="16"/>
      <c r="R950" s="16"/>
      <c r="S950" s="16"/>
    </row>
    <row r="951" ht="12.75" customHeight="1">
      <c r="G951" s="17"/>
      <c r="I951" s="18"/>
      <c r="N951" s="16"/>
      <c r="O951" s="16"/>
      <c r="P951" s="16"/>
      <c r="Q951" s="16"/>
      <c r="R951" s="16"/>
      <c r="S951" s="16"/>
    </row>
    <row r="952" ht="12.75" customHeight="1">
      <c r="G952" s="17"/>
      <c r="I952" s="18"/>
      <c r="N952" s="16"/>
      <c r="O952" s="16"/>
      <c r="P952" s="16"/>
      <c r="Q952" s="16"/>
      <c r="R952" s="16"/>
      <c r="S952" s="16"/>
    </row>
    <row r="953" ht="12.75" customHeight="1">
      <c r="G953" s="17"/>
      <c r="I953" s="18"/>
      <c r="N953" s="16"/>
      <c r="O953" s="16"/>
      <c r="P953" s="16"/>
      <c r="Q953" s="16"/>
      <c r="R953" s="16"/>
      <c r="S953" s="16"/>
    </row>
    <row r="954" ht="12.75" customHeight="1">
      <c r="G954" s="17"/>
      <c r="I954" s="18"/>
      <c r="N954" s="16"/>
      <c r="O954" s="16"/>
      <c r="P954" s="16"/>
      <c r="Q954" s="16"/>
      <c r="R954" s="16"/>
      <c r="S954" s="16"/>
    </row>
    <row r="955" ht="12.75" customHeight="1">
      <c r="G955" s="17"/>
      <c r="I955" s="18"/>
      <c r="N955" s="16"/>
      <c r="O955" s="16"/>
      <c r="P955" s="16"/>
      <c r="Q955" s="16"/>
      <c r="R955" s="16"/>
      <c r="S955" s="16"/>
    </row>
    <row r="956" ht="12.75" customHeight="1">
      <c r="G956" s="17"/>
      <c r="I956" s="18"/>
      <c r="N956" s="16"/>
      <c r="O956" s="16"/>
      <c r="P956" s="16"/>
      <c r="Q956" s="16"/>
      <c r="R956" s="16"/>
      <c r="S956" s="16"/>
    </row>
    <row r="957" ht="12.75" customHeight="1">
      <c r="G957" s="17"/>
      <c r="I957" s="18"/>
      <c r="N957" s="16"/>
      <c r="O957" s="16"/>
      <c r="P957" s="16"/>
      <c r="Q957" s="16"/>
      <c r="R957" s="16"/>
      <c r="S957" s="16"/>
    </row>
    <row r="958" ht="12.75" customHeight="1">
      <c r="G958" s="17"/>
      <c r="I958" s="18"/>
      <c r="N958" s="16"/>
      <c r="O958" s="16"/>
      <c r="P958" s="16"/>
      <c r="Q958" s="16"/>
      <c r="R958" s="16"/>
      <c r="S958" s="16"/>
    </row>
    <row r="959" ht="12.75" customHeight="1">
      <c r="G959" s="17"/>
      <c r="I959" s="18"/>
      <c r="N959" s="16"/>
      <c r="O959" s="16"/>
      <c r="P959" s="16"/>
      <c r="Q959" s="16"/>
      <c r="R959" s="16"/>
      <c r="S959" s="16"/>
    </row>
    <row r="960" ht="12.75" customHeight="1">
      <c r="G960" s="17"/>
      <c r="I960" s="18"/>
      <c r="N960" s="16"/>
      <c r="O960" s="16"/>
      <c r="P960" s="16"/>
      <c r="Q960" s="16"/>
      <c r="R960" s="16"/>
      <c r="S960" s="16"/>
    </row>
    <row r="961" ht="12.75" customHeight="1">
      <c r="G961" s="17"/>
      <c r="I961" s="18"/>
      <c r="N961" s="16"/>
      <c r="O961" s="16"/>
      <c r="P961" s="16"/>
      <c r="Q961" s="16"/>
      <c r="R961" s="16"/>
      <c r="S961" s="16"/>
    </row>
    <row r="962" ht="12.75" customHeight="1">
      <c r="G962" s="17"/>
      <c r="I962" s="18"/>
      <c r="N962" s="16"/>
      <c r="O962" s="16"/>
      <c r="P962" s="16"/>
      <c r="Q962" s="16"/>
      <c r="R962" s="16"/>
      <c r="S962" s="16"/>
    </row>
    <row r="963" ht="12.75" customHeight="1">
      <c r="G963" s="17"/>
      <c r="I963" s="18"/>
      <c r="N963" s="16"/>
      <c r="O963" s="16"/>
      <c r="P963" s="16"/>
      <c r="Q963" s="16"/>
      <c r="R963" s="16"/>
      <c r="S963" s="16"/>
    </row>
    <row r="964" ht="12.75" customHeight="1">
      <c r="G964" s="17"/>
      <c r="I964" s="18"/>
      <c r="N964" s="16"/>
      <c r="O964" s="16"/>
      <c r="P964" s="16"/>
      <c r="Q964" s="16"/>
      <c r="R964" s="16"/>
      <c r="S964" s="16"/>
    </row>
    <row r="965" ht="12.75" customHeight="1">
      <c r="G965" s="17"/>
      <c r="I965" s="18"/>
      <c r="N965" s="16"/>
      <c r="O965" s="16"/>
      <c r="P965" s="16"/>
      <c r="Q965" s="16"/>
      <c r="R965" s="16"/>
      <c r="S965" s="16"/>
    </row>
    <row r="966" ht="12.75" customHeight="1">
      <c r="G966" s="17"/>
      <c r="I966" s="18"/>
      <c r="N966" s="16"/>
      <c r="O966" s="16"/>
      <c r="P966" s="16"/>
      <c r="Q966" s="16"/>
      <c r="R966" s="16"/>
      <c r="S966" s="16"/>
    </row>
    <row r="967" ht="12.75" customHeight="1">
      <c r="G967" s="17"/>
      <c r="I967" s="18"/>
      <c r="N967" s="16"/>
      <c r="O967" s="16"/>
      <c r="P967" s="16"/>
      <c r="Q967" s="16"/>
      <c r="R967" s="16"/>
      <c r="S967" s="16"/>
    </row>
    <row r="968" ht="12.75" customHeight="1">
      <c r="G968" s="17"/>
      <c r="I968" s="18"/>
      <c r="N968" s="16"/>
      <c r="O968" s="16"/>
      <c r="P968" s="16"/>
      <c r="Q968" s="16"/>
      <c r="R968" s="16"/>
      <c r="S968" s="16"/>
    </row>
    <row r="969" ht="12.75" customHeight="1">
      <c r="G969" s="17"/>
      <c r="I969" s="18"/>
      <c r="N969" s="16"/>
      <c r="O969" s="16"/>
      <c r="P969" s="16"/>
      <c r="Q969" s="16"/>
      <c r="R969" s="16"/>
      <c r="S969" s="16"/>
    </row>
    <row r="970" ht="12.75" customHeight="1">
      <c r="G970" s="17"/>
      <c r="I970" s="18"/>
      <c r="N970" s="16"/>
      <c r="O970" s="16"/>
      <c r="P970" s="16"/>
      <c r="Q970" s="16"/>
      <c r="R970" s="16"/>
      <c r="S970" s="16"/>
    </row>
    <row r="971" ht="12.75" customHeight="1">
      <c r="G971" s="17"/>
      <c r="I971" s="18"/>
      <c r="N971" s="16"/>
      <c r="O971" s="16"/>
      <c r="P971" s="16"/>
      <c r="Q971" s="16"/>
      <c r="R971" s="16"/>
      <c r="S971" s="16"/>
    </row>
    <row r="972" ht="12.75" customHeight="1">
      <c r="G972" s="17"/>
      <c r="I972" s="18"/>
      <c r="N972" s="16"/>
      <c r="O972" s="16"/>
      <c r="P972" s="16"/>
      <c r="Q972" s="16"/>
      <c r="R972" s="16"/>
      <c r="S972" s="16"/>
    </row>
    <row r="973" ht="12.75" customHeight="1">
      <c r="G973" s="17"/>
      <c r="I973" s="18"/>
      <c r="N973" s="16"/>
      <c r="O973" s="16"/>
      <c r="P973" s="16"/>
      <c r="Q973" s="16"/>
      <c r="R973" s="16"/>
      <c r="S973" s="16"/>
    </row>
    <row r="974" ht="12.75" customHeight="1">
      <c r="G974" s="17"/>
      <c r="I974" s="18"/>
      <c r="N974" s="16"/>
      <c r="O974" s="16"/>
      <c r="P974" s="16"/>
      <c r="Q974" s="16"/>
      <c r="R974" s="16"/>
      <c r="S974" s="16"/>
    </row>
    <row r="975" ht="12.75" customHeight="1">
      <c r="G975" s="17"/>
      <c r="I975" s="18"/>
      <c r="N975" s="16"/>
      <c r="O975" s="16"/>
      <c r="P975" s="16"/>
      <c r="Q975" s="16"/>
      <c r="R975" s="16"/>
      <c r="S975" s="16"/>
    </row>
    <row r="976" ht="12.75" customHeight="1">
      <c r="G976" s="17"/>
      <c r="I976" s="18"/>
      <c r="N976" s="16"/>
      <c r="O976" s="16"/>
      <c r="P976" s="16"/>
      <c r="Q976" s="16"/>
      <c r="R976" s="16"/>
      <c r="S976" s="16"/>
    </row>
    <row r="977" ht="12.75" customHeight="1">
      <c r="G977" s="17"/>
      <c r="I977" s="18"/>
      <c r="N977" s="16"/>
      <c r="O977" s="16"/>
      <c r="P977" s="16"/>
      <c r="Q977" s="16"/>
      <c r="R977" s="16"/>
      <c r="S977" s="16"/>
    </row>
    <row r="978" ht="12.75" customHeight="1">
      <c r="G978" s="17"/>
      <c r="I978" s="18"/>
      <c r="N978" s="16"/>
      <c r="O978" s="16"/>
      <c r="P978" s="16"/>
      <c r="Q978" s="16"/>
      <c r="R978" s="16"/>
      <c r="S978" s="16"/>
    </row>
    <row r="979" ht="12.75" customHeight="1">
      <c r="G979" s="17"/>
      <c r="I979" s="18"/>
      <c r="N979" s="16"/>
      <c r="O979" s="16"/>
      <c r="P979" s="16"/>
      <c r="Q979" s="16"/>
      <c r="R979" s="16"/>
      <c r="S979" s="16"/>
    </row>
    <row r="980" ht="12.75" customHeight="1">
      <c r="G980" s="17"/>
      <c r="I980" s="18"/>
      <c r="N980" s="16"/>
      <c r="O980" s="16"/>
      <c r="P980" s="16"/>
      <c r="Q980" s="16"/>
      <c r="R980" s="16"/>
      <c r="S980" s="16"/>
    </row>
    <row r="981" ht="12.75" customHeight="1">
      <c r="G981" s="17"/>
      <c r="I981" s="18"/>
      <c r="N981" s="16"/>
      <c r="O981" s="16"/>
      <c r="P981" s="16"/>
      <c r="Q981" s="16"/>
      <c r="R981" s="16"/>
      <c r="S981" s="16"/>
    </row>
    <row r="982" ht="12.75" customHeight="1">
      <c r="G982" s="17"/>
      <c r="I982" s="18"/>
      <c r="N982" s="16"/>
      <c r="O982" s="16"/>
      <c r="P982" s="16"/>
      <c r="Q982" s="16"/>
      <c r="R982" s="16"/>
      <c r="S982" s="16"/>
    </row>
    <row r="983" ht="12.75" customHeight="1">
      <c r="G983" s="17"/>
      <c r="I983" s="18"/>
      <c r="N983" s="16"/>
      <c r="O983" s="16"/>
      <c r="P983" s="16"/>
      <c r="Q983" s="16"/>
      <c r="R983" s="16"/>
      <c r="S983" s="16"/>
    </row>
    <row r="984" ht="12.75" customHeight="1">
      <c r="G984" s="17"/>
      <c r="I984" s="18"/>
      <c r="N984" s="16"/>
      <c r="O984" s="16"/>
      <c r="P984" s="16"/>
      <c r="Q984" s="16"/>
      <c r="R984" s="16"/>
      <c r="S984" s="16"/>
    </row>
    <row r="985" ht="12.75" customHeight="1">
      <c r="G985" s="17"/>
      <c r="I985" s="18"/>
      <c r="N985" s="16"/>
      <c r="O985" s="16"/>
      <c r="P985" s="16"/>
      <c r="Q985" s="16"/>
      <c r="R985" s="16"/>
      <c r="S985" s="16"/>
    </row>
    <row r="986" ht="12.75" customHeight="1">
      <c r="G986" s="17"/>
      <c r="I986" s="18"/>
      <c r="N986" s="16"/>
      <c r="O986" s="16"/>
      <c r="P986" s="16"/>
      <c r="Q986" s="16"/>
      <c r="R986" s="16"/>
      <c r="S986" s="16"/>
    </row>
    <row r="987" ht="12.75" customHeight="1">
      <c r="G987" s="17"/>
      <c r="I987" s="18"/>
      <c r="N987" s="16"/>
      <c r="O987" s="16"/>
      <c r="P987" s="16"/>
      <c r="Q987" s="16"/>
      <c r="R987" s="16"/>
      <c r="S987" s="16"/>
    </row>
    <row r="988" ht="12.75" customHeight="1">
      <c r="G988" s="17"/>
      <c r="I988" s="18"/>
      <c r="N988" s="16"/>
      <c r="O988" s="16"/>
      <c r="P988" s="16"/>
      <c r="Q988" s="16"/>
      <c r="R988" s="16"/>
      <c r="S988" s="16"/>
    </row>
    <row r="989" ht="12.75" customHeight="1">
      <c r="G989" s="17"/>
      <c r="I989" s="18"/>
      <c r="N989" s="16"/>
      <c r="O989" s="16"/>
      <c r="P989" s="16"/>
      <c r="Q989" s="16"/>
      <c r="R989" s="16"/>
      <c r="S989" s="16"/>
    </row>
    <row r="990" ht="12.75" customHeight="1">
      <c r="G990" s="17"/>
      <c r="I990" s="18"/>
      <c r="N990" s="16"/>
      <c r="O990" s="16"/>
      <c r="P990" s="16"/>
      <c r="Q990" s="16"/>
      <c r="R990" s="16"/>
      <c r="S990" s="16"/>
    </row>
    <row r="991" ht="12.75" customHeight="1">
      <c r="G991" s="17"/>
      <c r="I991" s="18"/>
      <c r="N991" s="16"/>
      <c r="O991" s="16"/>
      <c r="P991" s="16"/>
      <c r="Q991" s="16"/>
      <c r="R991" s="16"/>
      <c r="S991" s="16"/>
    </row>
    <row r="992" ht="12.75" customHeight="1">
      <c r="G992" s="17"/>
      <c r="I992" s="18"/>
      <c r="N992" s="16"/>
      <c r="O992" s="16"/>
      <c r="P992" s="16"/>
      <c r="Q992" s="16"/>
      <c r="R992" s="16"/>
      <c r="S992" s="16"/>
    </row>
    <row r="993" ht="12.75" customHeight="1">
      <c r="G993" s="17"/>
      <c r="I993" s="18"/>
      <c r="N993" s="16"/>
      <c r="O993" s="16"/>
      <c r="P993" s="16"/>
      <c r="Q993" s="16"/>
      <c r="R993" s="16"/>
      <c r="S993" s="16"/>
    </row>
    <row r="994" ht="12.75" customHeight="1">
      <c r="G994" s="17"/>
      <c r="I994" s="18"/>
      <c r="N994" s="16"/>
      <c r="O994" s="16"/>
      <c r="P994" s="16"/>
      <c r="Q994" s="16"/>
      <c r="R994" s="16"/>
      <c r="S994" s="16"/>
    </row>
    <row r="995" ht="12.75" customHeight="1">
      <c r="G995" s="17"/>
      <c r="I995" s="18"/>
      <c r="N995" s="16"/>
      <c r="O995" s="16"/>
      <c r="P995" s="16"/>
      <c r="Q995" s="16"/>
      <c r="R995" s="16"/>
      <c r="S995" s="16"/>
    </row>
    <row r="996" ht="12.75" customHeight="1">
      <c r="G996" s="17"/>
      <c r="I996" s="18"/>
      <c r="N996" s="16"/>
      <c r="O996" s="16"/>
      <c r="P996" s="16"/>
      <c r="Q996" s="16"/>
      <c r="R996" s="16"/>
      <c r="S996" s="16"/>
    </row>
    <row r="997" ht="12.75" customHeight="1">
      <c r="G997" s="17"/>
      <c r="I997" s="18"/>
      <c r="N997" s="16"/>
      <c r="O997" s="16"/>
      <c r="P997" s="16"/>
      <c r="Q997" s="16"/>
      <c r="R997" s="16"/>
      <c r="S997" s="16"/>
    </row>
    <row r="998" ht="12.75" customHeight="1">
      <c r="G998" s="17"/>
      <c r="I998" s="18"/>
      <c r="N998" s="16"/>
      <c r="O998" s="16"/>
      <c r="P998" s="16"/>
      <c r="Q998" s="16"/>
      <c r="R998" s="16"/>
      <c r="S998" s="16"/>
    </row>
    <row r="999" ht="12.75" customHeight="1">
      <c r="G999" s="17"/>
      <c r="I999" s="18"/>
      <c r="N999" s="16"/>
      <c r="O999" s="16"/>
      <c r="P999" s="16"/>
      <c r="Q999" s="16"/>
      <c r="R999" s="16"/>
      <c r="S999" s="16"/>
    </row>
    <row r="1000" ht="12.75" customHeight="1">
      <c r="G1000" s="17"/>
      <c r="I1000" s="18"/>
      <c r="N1000" s="16"/>
      <c r="O1000" s="16"/>
      <c r="P1000" s="16"/>
      <c r="Q1000" s="16"/>
      <c r="R1000" s="16"/>
      <c r="S1000" s="1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0.25"/>
    <col customWidth="1" min="3" max="3" width="8.0"/>
    <col customWidth="1" min="4" max="4" width="9.13"/>
    <col customWidth="1" min="5" max="26" width="8.0"/>
  </cols>
  <sheetData>
    <row r="1" ht="12.75" customHeight="1">
      <c r="D1" s="7"/>
    </row>
    <row r="2" ht="12.75" customHeight="1">
      <c r="B2" s="8" t="s">
        <v>26</v>
      </c>
      <c r="C2" s="9">
        <v>9.21E-5</v>
      </c>
      <c r="D2" s="7"/>
    </row>
    <row r="3" ht="12.75" customHeight="1">
      <c r="B3" s="8" t="s">
        <v>27</v>
      </c>
      <c r="C3" s="8">
        <v>7.2</v>
      </c>
      <c r="D3" s="7"/>
    </row>
    <row r="4" ht="12.75" customHeight="1">
      <c r="B4" s="10" t="s">
        <v>28</v>
      </c>
      <c r="C4" s="10" t="s">
        <v>29</v>
      </c>
      <c r="D4" s="11" t="s">
        <v>30</v>
      </c>
    </row>
    <row r="5" ht="12.75" customHeight="1">
      <c r="B5" s="8">
        <v>7.2</v>
      </c>
      <c r="C5" s="8">
        <v>289.0</v>
      </c>
      <c r="D5" s="7">
        <f t="shared" ref="D5:D7" si="1">$C$2*B5*B5*C5</f>
        <v>1.379820096</v>
      </c>
    </row>
    <row r="6" ht="12.75" customHeight="1">
      <c r="B6" s="8">
        <v>7.2</v>
      </c>
      <c r="C6" s="8">
        <v>400.0</v>
      </c>
      <c r="D6" s="7">
        <f t="shared" si="1"/>
        <v>1.9097856</v>
      </c>
      <c r="G6" s="12" t="s">
        <v>29</v>
      </c>
    </row>
    <row r="7" ht="12.75" customHeight="1">
      <c r="B7" s="8">
        <v>7.2</v>
      </c>
      <c r="C7" s="8">
        <v>450.0</v>
      </c>
      <c r="D7" s="7">
        <f t="shared" si="1"/>
        <v>2.1485088</v>
      </c>
      <c r="G7" s="13">
        <v>300.0</v>
      </c>
    </row>
    <row r="8" ht="12.75" customHeight="1">
      <c r="D8" s="7"/>
    </row>
    <row r="9" ht="12.75" customHeight="1">
      <c r="D9" s="7"/>
      <c r="F9" s="10" t="s">
        <v>28</v>
      </c>
      <c r="G9" s="11" t="s">
        <v>30</v>
      </c>
    </row>
    <row r="10" ht="12.75" customHeight="1">
      <c r="D10" s="7">
        <f>1.43/0.64</f>
        <v>2.234375</v>
      </c>
      <c r="F10" s="8">
        <v>0.0</v>
      </c>
      <c r="G10" s="7">
        <f t="shared" ref="G10:G82" si="2">$C$2*F10*F10*$G$7</f>
        <v>0</v>
      </c>
    </row>
    <row r="11" ht="12.75" customHeight="1">
      <c r="D11" s="7"/>
      <c r="F11" s="8">
        <v>0.1</v>
      </c>
      <c r="G11" s="7">
        <f t="shared" si="2"/>
        <v>0.0002763</v>
      </c>
    </row>
    <row r="12" ht="12.75" customHeight="1">
      <c r="D12" s="7"/>
      <c r="F12" s="8">
        <v>0.2</v>
      </c>
      <c r="G12" s="7">
        <f t="shared" si="2"/>
        <v>0.0011052</v>
      </c>
    </row>
    <row r="13" ht="12.75" customHeight="1">
      <c r="D13" s="7"/>
      <c r="F13" s="8">
        <v>0.3</v>
      </c>
      <c r="G13" s="7">
        <f t="shared" si="2"/>
        <v>0.0024867</v>
      </c>
    </row>
    <row r="14" ht="12.75" customHeight="1">
      <c r="D14" s="7"/>
      <c r="F14" s="8">
        <v>0.4</v>
      </c>
      <c r="G14" s="7">
        <f t="shared" si="2"/>
        <v>0.0044208</v>
      </c>
    </row>
    <row r="15" ht="12.75" customHeight="1">
      <c r="D15" s="7"/>
      <c r="F15" s="8">
        <v>0.5</v>
      </c>
      <c r="G15" s="7">
        <f t="shared" si="2"/>
        <v>0.0069075</v>
      </c>
    </row>
    <row r="16" ht="12.75" customHeight="1">
      <c r="D16" s="7"/>
      <c r="F16" s="8">
        <v>0.6</v>
      </c>
      <c r="G16" s="7">
        <f t="shared" si="2"/>
        <v>0.0099468</v>
      </c>
    </row>
    <row r="17" ht="12.75" customHeight="1">
      <c r="D17" s="7"/>
      <c r="F17" s="8">
        <v>0.7</v>
      </c>
      <c r="G17" s="7">
        <f t="shared" si="2"/>
        <v>0.0135387</v>
      </c>
    </row>
    <row r="18" ht="12.75" customHeight="1">
      <c r="D18" s="7"/>
      <c r="F18" s="8">
        <v>0.8</v>
      </c>
      <c r="G18" s="7">
        <f t="shared" si="2"/>
        <v>0.0176832</v>
      </c>
    </row>
    <row r="19" ht="12.75" customHeight="1">
      <c r="D19" s="7"/>
      <c r="F19" s="8">
        <v>0.9</v>
      </c>
      <c r="G19" s="7">
        <f t="shared" si="2"/>
        <v>0.0223803</v>
      </c>
    </row>
    <row r="20" ht="12.75" customHeight="1">
      <c r="D20" s="7"/>
      <c r="F20" s="8">
        <v>1.0</v>
      </c>
      <c r="G20" s="7">
        <f t="shared" si="2"/>
        <v>0.02763</v>
      </c>
    </row>
    <row r="21" ht="12.75" customHeight="1">
      <c r="D21" s="7"/>
      <c r="F21" s="8">
        <v>1.1</v>
      </c>
      <c r="G21" s="7">
        <f t="shared" si="2"/>
        <v>0.0334323</v>
      </c>
    </row>
    <row r="22" ht="12.75" customHeight="1">
      <c r="D22" s="7"/>
      <c r="F22" s="8">
        <v>1.2</v>
      </c>
      <c r="G22" s="7">
        <f t="shared" si="2"/>
        <v>0.0397872</v>
      </c>
    </row>
    <row r="23" ht="12.75" customHeight="1">
      <c r="D23" s="7"/>
      <c r="F23" s="8">
        <v>1.3</v>
      </c>
      <c r="G23" s="7">
        <f t="shared" si="2"/>
        <v>0.0466947</v>
      </c>
    </row>
    <row r="24" ht="12.75" customHeight="1">
      <c r="D24" s="7"/>
      <c r="F24" s="8">
        <v>1.4</v>
      </c>
      <c r="G24" s="7">
        <f t="shared" si="2"/>
        <v>0.0541548</v>
      </c>
    </row>
    <row r="25" ht="12.75" customHeight="1">
      <c r="D25" s="7"/>
      <c r="F25" s="8">
        <v>1.5</v>
      </c>
      <c r="G25" s="7">
        <f t="shared" si="2"/>
        <v>0.0621675</v>
      </c>
    </row>
    <row r="26" ht="12.75" customHeight="1">
      <c r="D26" s="7"/>
      <c r="F26" s="8">
        <v>1.6</v>
      </c>
      <c r="G26" s="7">
        <f t="shared" si="2"/>
        <v>0.0707328</v>
      </c>
    </row>
    <row r="27" ht="12.75" customHeight="1">
      <c r="D27" s="7"/>
      <c r="F27" s="8">
        <v>1.7</v>
      </c>
      <c r="G27" s="7">
        <f t="shared" si="2"/>
        <v>0.0798507</v>
      </c>
    </row>
    <row r="28" ht="12.75" customHeight="1">
      <c r="D28" s="7"/>
      <c r="F28" s="8">
        <v>1.8</v>
      </c>
      <c r="G28" s="7">
        <f t="shared" si="2"/>
        <v>0.0895212</v>
      </c>
    </row>
    <row r="29" ht="12.75" customHeight="1">
      <c r="D29" s="7"/>
      <c r="F29" s="8">
        <v>1.9</v>
      </c>
      <c r="G29" s="7">
        <f t="shared" si="2"/>
        <v>0.0997443</v>
      </c>
    </row>
    <row r="30" ht="12.75" customHeight="1">
      <c r="D30" s="7"/>
      <c r="F30" s="8">
        <v>2.0</v>
      </c>
      <c r="G30" s="7">
        <f t="shared" si="2"/>
        <v>0.11052</v>
      </c>
    </row>
    <row r="31" ht="12.75" customHeight="1">
      <c r="D31" s="7"/>
      <c r="F31" s="8">
        <v>2.1</v>
      </c>
      <c r="G31" s="7">
        <f t="shared" si="2"/>
        <v>0.1218483</v>
      </c>
    </row>
    <row r="32" ht="12.75" customHeight="1">
      <c r="D32" s="7"/>
      <c r="F32" s="8">
        <v>2.2</v>
      </c>
      <c r="G32" s="7">
        <f t="shared" si="2"/>
        <v>0.1337292</v>
      </c>
    </row>
    <row r="33" ht="12.75" customHeight="1">
      <c r="D33" s="7"/>
      <c r="F33" s="8">
        <v>2.3</v>
      </c>
      <c r="G33" s="7">
        <f t="shared" si="2"/>
        <v>0.1461627</v>
      </c>
    </row>
    <row r="34" ht="12.75" customHeight="1">
      <c r="D34" s="7"/>
      <c r="F34" s="8">
        <v>2.4</v>
      </c>
      <c r="G34" s="7">
        <f t="shared" si="2"/>
        <v>0.1591488</v>
      </c>
    </row>
    <row r="35" ht="12.75" customHeight="1">
      <c r="D35" s="7"/>
      <c r="F35" s="8">
        <v>2.5</v>
      </c>
      <c r="G35" s="7">
        <f t="shared" si="2"/>
        <v>0.1726875</v>
      </c>
    </row>
    <row r="36" ht="12.75" customHeight="1">
      <c r="D36" s="7"/>
      <c r="F36" s="8">
        <v>2.6</v>
      </c>
      <c r="G36" s="7">
        <f t="shared" si="2"/>
        <v>0.1867788</v>
      </c>
    </row>
    <row r="37" ht="12.75" customHeight="1">
      <c r="D37" s="7"/>
      <c r="F37" s="8">
        <v>2.7</v>
      </c>
      <c r="G37" s="7">
        <f t="shared" si="2"/>
        <v>0.2014227</v>
      </c>
    </row>
    <row r="38" ht="12.75" customHeight="1">
      <c r="D38" s="7"/>
      <c r="F38" s="8">
        <v>2.8</v>
      </c>
      <c r="G38" s="7">
        <f t="shared" si="2"/>
        <v>0.2166192</v>
      </c>
    </row>
    <row r="39" ht="12.75" customHeight="1">
      <c r="D39" s="7"/>
      <c r="F39" s="8">
        <v>2.9</v>
      </c>
      <c r="G39" s="7">
        <f t="shared" si="2"/>
        <v>0.2323683</v>
      </c>
    </row>
    <row r="40" ht="12.75" customHeight="1">
      <c r="D40" s="7"/>
      <c r="F40" s="8">
        <v>3.0</v>
      </c>
      <c r="G40" s="7">
        <f t="shared" si="2"/>
        <v>0.24867</v>
      </c>
    </row>
    <row r="41" ht="12.75" customHeight="1">
      <c r="D41" s="7"/>
      <c r="F41" s="8">
        <v>3.1</v>
      </c>
      <c r="G41" s="7">
        <f t="shared" si="2"/>
        <v>0.2655243</v>
      </c>
    </row>
    <row r="42" ht="12.75" customHeight="1">
      <c r="D42" s="7"/>
      <c r="F42" s="8">
        <v>3.2</v>
      </c>
      <c r="G42" s="7">
        <f t="shared" si="2"/>
        <v>0.2829312</v>
      </c>
    </row>
    <row r="43" ht="12.75" customHeight="1">
      <c r="D43" s="7"/>
      <c r="F43" s="8">
        <v>3.3</v>
      </c>
      <c r="G43" s="7">
        <f t="shared" si="2"/>
        <v>0.3008907</v>
      </c>
    </row>
    <row r="44" ht="12.75" customHeight="1">
      <c r="D44" s="7"/>
      <c r="F44" s="8">
        <v>3.4</v>
      </c>
      <c r="G44" s="7">
        <f t="shared" si="2"/>
        <v>0.3194028</v>
      </c>
    </row>
    <row r="45" ht="12.75" customHeight="1">
      <c r="D45" s="7"/>
      <c r="F45" s="8">
        <v>3.5</v>
      </c>
      <c r="G45" s="7">
        <f t="shared" si="2"/>
        <v>0.3384675</v>
      </c>
    </row>
    <row r="46" ht="12.75" customHeight="1">
      <c r="D46" s="7"/>
      <c r="F46" s="8">
        <v>3.6</v>
      </c>
      <c r="G46" s="7">
        <f t="shared" si="2"/>
        <v>0.3580848</v>
      </c>
    </row>
    <row r="47" ht="12.75" customHeight="1">
      <c r="D47" s="7"/>
      <c r="F47" s="8">
        <v>3.7</v>
      </c>
      <c r="G47" s="7">
        <f t="shared" si="2"/>
        <v>0.3782547</v>
      </c>
    </row>
    <row r="48" ht="12.75" customHeight="1">
      <c r="D48" s="7"/>
      <c r="F48" s="8">
        <v>3.8</v>
      </c>
      <c r="G48" s="7">
        <f t="shared" si="2"/>
        <v>0.3989772</v>
      </c>
    </row>
    <row r="49" ht="12.75" customHeight="1">
      <c r="D49" s="7"/>
      <c r="F49" s="8">
        <v>3.9</v>
      </c>
      <c r="G49" s="7">
        <f t="shared" si="2"/>
        <v>0.4202523</v>
      </c>
    </row>
    <row r="50" ht="12.75" customHeight="1">
      <c r="D50" s="7"/>
      <c r="F50" s="8">
        <v>4.0</v>
      </c>
      <c r="G50" s="7">
        <f t="shared" si="2"/>
        <v>0.44208</v>
      </c>
    </row>
    <row r="51" ht="12.75" customHeight="1">
      <c r="D51" s="7"/>
      <c r="F51" s="8">
        <v>4.1</v>
      </c>
      <c r="G51" s="7">
        <f t="shared" si="2"/>
        <v>0.4644603</v>
      </c>
    </row>
    <row r="52" ht="12.75" customHeight="1">
      <c r="D52" s="7"/>
      <c r="F52" s="8">
        <v>4.2</v>
      </c>
      <c r="G52" s="7">
        <f t="shared" si="2"/>
        <v>0.4873932</v>
      </c>
    </row>
    <row r="53" ht="12.75" customHeight="1">
      <c r="D53" s="7"/>
      <c r="F53" s="8">
        <v>4.3</v>
      </c>
      <c r="G53" s="7">
        <f t="shared" si="2"/>
        <v>0.5108787</v>
      </c>
    </row>
    <row r="54" ht="12.75" customHeight="1">
      <c r="D54" s="7"/>
      <c r="F54" s="8">
        <v>4.4</v>
      </c>
      <c r="G54" s="7">
        <f t="shared" si="2"/>
        <v>0.5349168</v>
      </c>
    </row>
    <row r="55" ht="12.75" customHeight="1">
      <c r="D55" s="7"/>
      <c r="F55" s="8">
        <v>4.5</v>
      </c>
      <c r="G55" s="7">
        <f t="shared" si="2"/>
        <v>0.5595075</v>
      </c>
    </row>
    <row r="56" ht="12.75" customHeight="1">
      <c r="D56" s="7"/>
      <c r="F56" s="8">
        <v>4.6</v>
      </c>
      <c r="G56" s="7">
        <f t="shared" si="2"/>
        <v>0.5846508</v>
      </c>
    </row>
    <row r="57" ht="12.75" customHeight="1">
      <c r="D57" s="7"/>
      <c r="F57" s="8">
        <v>4.7</v>
      </c>
      <c r="G57" s="7">
        <f t="shared" si="2"/>
        <v>0.6103467</v>
      </c>
    </row>
    <row r="58" ht="12.75" customHeight="1">
      <c r="D58" s="7"/>
      <c r="F58" s="8">
        <v>4.8</v>
      </c>
      <c r="G58" s="7">
        <f t="shared" si="2"/>
        <v>0.6365952</v>
      </c>
    </row>
    <row r="59" ht="12.75" customHeight="1">
      <c r="D59" s="7"/>
      <c r="F59" s="8">
        <v>4.9</v>
      </c>
      <c r="G59" s="7">
        <f t="shared" si="2"/>
        <v>0.6633963</v>
      </c>
    </row>
    <row r="60" ht="12.75" customHeight="1">
      <c r="D60" s="7"/>
      <c r="F60" s="8">
        <v>5.0</v>
      </c>
      <c r="G60" s="7">
        <f t="shared" si="2"/>
        <v>0.69075</v>
      </c>
    </row>
    <row r="61" ht="12.75" customHeight="1">
      <c r="D61" s="7"/>
      <c r="F61" s="8">
        <v>5.1</v>
      </c>
      <c r="G61" s="7">
        <f t="shared" si="2"/>
        <v>0.7186563</v>
      </c>
    </row>
    <row r="62" ht="12.75" customHeight="1">
      <c r="D62" s="7"/>
      <c r="F62" s="8">
        <v>5.2</v>
      </c>
      <c r="G62" s="7">
        <f t="shared" si="2"/>
        <v>0.7471152</v>
      </c>
    </row>
    <row r="63" ht="12.75" customHeight="1">
      <c r="D63" s="7"/>
      <c r="F63" s="8">
        <v>5.3</v>
      </c>
      <c r="G63" s="7">
        <f t="shared" si="2"/>
        <v>0.7761267</v>
      </c>
    </row>
    <row r="64" ht="12.75" customHeight="1">
      <c r="D64" s="7"/>
      <c r="F64" s="8">
        <v>5.4</v>
      </c>
      <c r="G64" s="7">
        <f t="shared" si="2"/>
        <v>0.8056908</v>
      </c>
    </row>
    <row r="65" ht="12.75" customHeight="1">
      <c r="D65" s="7"/>
      <c r="F65" s="8">
        <v>5.5</v>
      </c>
      <c r="G65" s="7">
        <f t="shared" si="2"/>
        <v>0.8358075</v>
      </c>
    </row>
    <row r="66" ht="12.75" customHeight="1">
      <c r="D66" s="7"/>
      <c r="F66" s="8">
        <v>5.6</v>
      </c>
      <c r="G66" s="7">
        <f t="shared" si="2"/>
        <v>0.8664768</v>
      </c>
    </row>
    <row r="67" ht="12.75" customHeight="1">
      <c r="D67" s="7"/>
      <c r="F67" s="8">
        <v>5.7</v>
      </c>
      <c r="G67" s="7">
        <f t="shared" si="2"/>
        <v>0.8976987</v>
      </c>
    </row>
    <row r="68" ht="12.75" customHeight="1">
      <c r="D68" s="7"/>
      <c r="F68" s="8">
        <v>5.8</v>
      </c>
      <c r="G68" s="7">
        <f t="shared" si="2"/>
        <v>0.9294732</v>
      </c>
    </row>
    <row r="69" ht="12.75" customHeight="1">
      <c r="D69" s="7"/>
      <c r="F69" s="8">
        <v>5.9</v>
      </c>
      <c r="G69" s="7">
        <f t="shared" si="2"/>
        <v>0.9618003</v>
      </c>
    </row>
    <row r="70" ht="12.75" customHeight="1">
      <c r="D70" s="7"/>
      <c r="F70" s="8">
        <v>6.0</v>
      </c>
      <c r="G70" s="7">
        <f t="shared" si="2"/>
        <v>0.99468</v>
      </c>
    </row>
    <row r="71" ht="12.75" customHeight="1">
      <c r="D71" s="7"/>
      <c r="F71" s="8">
        <v>6.1</v>
      </c>
      <c r="G71" s="7">
        <f t="shared" si="2"/>
        <v>1.0281123</v>
      </c>
    </row>
    <row r="72" ht="12.75" customHeight="1">
      <c r="D72" s="7"/>
      <c r="F72" s="8">
        <v>6.2</v>
      </c>
      <c r="G72" s="7">
        <f t="shared" si="2"/>
        <v>1.0620972</v>
      </c>
    </row>
    <row r="73" ht="12.75" customHeight="1">
      <c r="D73" s="7"/>
      <c r="F73" s="8">
        <v>6.3</v>
      </c>
      <c r="G73" s="7">
        <f t="shared" si="2"/>
        <v>1.0966347</v>
      </c>
    </row>
    <row r="74" ht="12.75" customHeight="1">
      <c r="D74" s="7"/>
      <c r="F74" s="8">
        <v>6.4</v>
      </c>
      <c r="G74" s="7">
        <f t="shared" si="2"/>
        <v>1.1317248</v>
      </c>
    </row>
    <row r="75" ht="12.75" customHeight="1">
      <c r="D75" s="7"/>
      <c r="F75" s="8">
        <v>6.5</v>
      </c>
      <c r="G75" s="7">
        <f t="shared" si="2"/>
        <v>1.1673675</v>
      </c>
    </row>
    <row r="76" ht="12.75" customHeight="1">
      <c r="D76" s="7"/>
      <c r="F76" s="8">
        <v>6.6</v>
      </c>
      <c r="G76" s="7">
        <f t="shared" si="2"/>
        <v>1.2035628</v>
      </c>
    </row>
    <row r="77" ht="12.75" customHeight="1">
      <c r="D77" s="7"/>
      <c r="F77" s="8">
        <v>6.7</v>
      </c>
      <c r="G77" s="7">
        <f t="shared" si="2"/>
        <v>1.2403107</v>
      </c>
    </row>
    <row r="78" ht="12.75" customHeight="1">
      <c r="D78" s="7"/>
      <c r="F78" s="8">
        <v>6.8</v>
      </c>
      <c r="G78" s="7">
        <f t="shared" si="2"/>
        <v>1.2776112</v>
      </c>
    </row>
    <row r="79" ht="12.75" customHeight="1">
      <c r="D79" s="7"/>
      <c r="F79" s="8">
        <v>6.9</v>
      </c>
      <c r="G79" s="7">
        <f t="shared" si="2"/>
        <v>1.3154643</v>
      </c>
    </row>
    <row r="80" ht="12.75" customHeight="1">
      <c r="D80" s="7"/>
      <c r="F80" s="8">
        <v>7.0</v>
      </c>
      <c r="G80" s="7">
        <f t="shared" si="2"/>
        <v>1.35387</v>
      </c>
    </row>
    <row r="81" ht="12.75" customHeight="1">
      <c r="D81" s="7"/>
      <c r="F81" s="8">
        <v>7.1</v>
      </c>
      <c r="G81" s="7">
        <f t="shared" si="2"/>
        <v>1.3928283</v>
      </c>
    </row>
    <row r="82" ht="12.75" customHeight="1">
      <c r="D82" s="7"/>
      <c r="F82" s="8">
        <v>7.2</v>
      </c>
      <c r="G82" s="7">
        <f t="shared" si="2"/>
        <v>1.4323392</v>
      </c>
    </row>
    <row r="83" ht="12.75" customHeight="1">
      <c r="D83" s="7"/>
    </row>
    <row r="84" ht="12.75" customHeight="1">
      <c r="D84" s="7"/>
    </row>
    <row r="85" ht="12.75" customHeight="1">
      <c r="D85" s="7"/>
    </row>
    <row r="86" ht="12.75" customHeight="1">
      <c r="D86" s="7"/>
    </row>
    <row r="87" ht="12.75" customHeight="1">
      <c r="D87" s="7"/>
    </row>
    <row r="88" ht="12.75" customHeight="1">
      <c r="D88" s="7"/>
    </row>
    <row r="89" ht="12.75" customHeight="1">
      <c r="D89" s="7"/>
    </row>
    <row r="90" ht="12.75" customHeight="1">
      <c r="D90" s="7"/>
    </row>
    <row r="91" ht="12.75" customHeight="1">
      <c r="D91" s="7"/>
    </row>
    <row r="92" ht="12.75" customHeight="1">
      <c r="D92" s="7"/>
    </row>
    <row r="93" ht="12.75" customHeight="1">
      <c r="D93" s="7"/>
    </row>
    <row r="94" ht="12.75" customHeight="1">
      <c r="D94" s="7"/>
    </row>
    <row r="95" ht="12.75" customHeight="1">
      <c r="D95" s="7"/>
    </row>
    <row r="96" ht="12.75" customHeight="1">
      <c r="D96" s="7"/>
    </row>
    <row r="97" ht="12.75" customHeight="1">
      <c r="D97" s="7"/>
    </row>
    <row r="98" ht="12.75" customHeight="1">
      <c r="D98" s="7"/>
    </row>
    <row r="99" ht="12.75" customHeight="1">
      <c r="D99" s="7"/>
    </row>
    <row r="100" ht="12.75" customHeight="1">
      <c r="D100" s="7"/>
    </row>
    <row r="101" ht="12.75" customHeight="1">
      <c r="D101" s="7"/>
    </row>
    <row r="102" ht="12.75" customHeight="1">
      <c r="D102" s="7"/>
    </row>
    <row r="103" ht="12.75" customHeight="1">
      <c r="D103" s="7"/>
    </row>
    <row r="104" ht="12.75" customHeight="1">
      <c r="D104" s="7"/>
    </row>
    <row r="105" ht="12.75" customHeight="1">
      <c r="D105" s="7"/>
    </row>
    <row r="106" ht="12.75" customHeight="1">
      <c r="D106" s="7"/>
    </row>
    <row r="107" ht="12.75" customHeight="1">
      <c r="D107" s="7"/>
    </row>
    <row r="108" ht="12.75" customHeight="1">
      <c r="D108" s="7"/>
    </row>
    <row r="109" ht="12.75" customHeight="1">
      <c r="D109" s="7"/>
    </row>
    <row r="110" ht="12.75" customHeight="1">
      <c r="D110" s="7"/>
    </row>
    <row r="111" ht="12.75" customHeight="1">
      <c r="D111" s="7"/>
    </row>
    <row r="112" ht="12.75" customHeight="1">
      <c r="D112" s="7"/>
    </row>
    <row r="113" ht="12.75" customHeight="1">
      <c r="D113" s="7"/>
    </row>
    <row r="114" ht="12.75" customHeight="1">
      <c r="D114" s="7"/>
    </row>
    <row r="115" ht="12.75" customHeight="1">
      <c r="D115" s="7"/>
    </row>
    <row r="116" ht="12.75" customHeight="1">
      <c r="D116" s="7"/>
    </row>
    <row r="117" ht="12.75" customHeight="1">
      <c r="D117" s="7"/>
    </row>
    <row r="118" ht="12.75" customHeight="1">
      <c r="D118" s="7"/>
    </row>
    <row r="119" ht="12.75" customHeight="1">
      <c r="D119" s="7"/>
    </row>
    <row r="120" ht="12.75" customHeight="1">
      <c r="D120" s="7"/>
    </row>
    <row r="121" ht="12.75" customHeight="1">
      <c r="D121" s="7"/>
    </row>
    <row r="122" ht="12.75" customHeight="1">
      <c r="D122" s="7"/>
    </row>
    <row r="123" ht="12.75" customHeight="1">
      <c r="D123" s="7"/>
    </row>
    <row r="124" ht="12.75" customHeight="1">
      <c r="D124" s="7"/>
    </row>
    <row r="125" ht="12.75" customHeight="1">
      <c r="D125" s="7"/>
    </row>
    <row r="126" ht="12.75" customHeight="1">
      <c r="D126" s="7"/>
    </row>
    <row r="127" ht="12.75" customHeight="1">
      <c r="D127" s="7"/>
    </row>
    <row r="128" ht="12.75" customHeight="1">
      <c r="D128" s="7"/>
    </row>
    <row r="129" ht="12.75" customHeight="1">
      <c r="D129" s="7"/>
    </row>
    <row r="130" ht="12.75" customHeight="1">
      <c r="D130" s="7"/>
    </row>
    <row r="131" ht="12.75" customHeight="1">
      <c r="D131" s="7"/>
    </row>
    <row r="132" ht="12.75" customHeight="1">
      <c r="D132" s="7"/>
    </row>
    <row r="133" ht="12.75" customHeight="1">
      <c r="D133" s="7"/>
    </row>
    <row r="134" ht="12.75" customHeight="1">
      <c r="D134" s="7"/>
    </row>
    <row r="135" ht="12.75" customHeight="1">
      <c r="D135" s="7"/>
    </row>
    <row r="136" ht="12.75" customHeight="1">
      <c r="D136" s="7"/>
    </row>
    <row r="137" ht="12.75" customHeight="1">
      <c r="D137" s="7"/>
    </row>
    <row r="138" ht="12.75" customHeight="1">
      <c r="D138" s="7"/>
    </row>
    <row r="139" ht="12.75" customHeight="1">
      <c r="D139" s="7"/>
    </row>
    <row r="140" ht="12.75" customHeight="1">
      <c r="D140" s="7"/>
    </row>
    <row r="141" ht="12.75" customHeight="1">
      <c r="D141" s="7"/>
    </row>
    <row r="142" ht="12.75" customHeight="1">
      <c r="D142" s="7"/>
    </row>
    <row r="143" ht="12.75" customHeight="1">
      <c r="D143" s="7"/>
    </row>
    <row r="144" ht="12.75" customHeight="1">
      <c r="D144" s="7"/>
    </row>
    <row r="145" ht="12.75" customHeight="1">
      <c r="D145" s="7"/>
    </row>
    <row r="146" ht="12.75" customHeight="1">
      <c r="D146" s="7"/>
    </row>
    <row r="147" ht="12.75" customHeight="1">
      <c r="D147" s="7"/>
    </row>
    <row r="148" ht="12.75" customHeight="1">
      <c r="D148" s="7"/>
    </row>
    <row r="149" ht="12.75" customHeight="1">
      <c r="D149" s="7"/>
    </row>
    <row r="150" ht="12.75" customHeight="1">
      <c r="D150" s="7"/>
    </row>
    <row r="151" ht="12.75" customHeight="1">
      <c r="D151" s="7"/>
    </row>
    <row r="152" ht="12.75" customHeight="1">
      <c r="D152" s="7"/>
    </row>
    <row r="153" ht="12.75" customHeight="1">
      <c r="D153" s="7"/>
    </row>
    <row r="154" ht="12.75" customHeight="1">
      <c r="D154" s="7"/>
    </row>
    <row r="155" ht="12.75" customHeight="1">
      <c r="D155" s="7"/>
    </row>
    <row r="156" ht="12.75" customHeight="1">
      <c r="D156" s="7"/>
    </row>
    <row r="157" ht="12.75" customHeight="1">
      <c r="D157" s="7"/>
    </row>
    <row r="158" ht="12.75" customHeight="1">
      <c r="D158" s="7"/>
    </row>
    <row r="159" ht="12.75" customHeight="1">
      <c r="D159" s="7"/>
    </row>
    <row r="160" ht="12.75" customHeight="1">
      <c r="D160" s="7"/>
    </row>
    <row r="161" ht="12.75" customHeight="1">
      <c r="D161" s="7"/>
    </row>
    <row r="162" ht="12.75" customHeight="1">
      <c r="D162" s="7"/>
    </row>
    <row r="163" ht="12.75" customHeight="1">
      <c r="D163" s="7"/>
    </row>
    <row r="164" ht="12.75" customHeight="1">
      <c r="D164" s="7"/>
    </row>
    <row r="165" ht="12.75" customHeight="1">
      <c r="D165" s="7"/>
    </row>
    <row r="166" ht="12.75" customHeight="1">
      <c r="D166" s="7"/>
    </row>
    <row r="167" ht="12.75" customHeight="1">
      <c r="D167" s="7"/>
    </row>
    <row r="168" ht="12.75" customHeight="1">
      <c r="D168" s="7"/>
    </row>
    <row r="169" ht="12.75" customHeight="1">
      <c r="D169" s="7"/>
    </row>
    <row r="170" ht="12.75" customHeight="1">
      <c r="D170" s="7"/>
    </row>
    <row r="171" ht="12.75" customHeight="1">
      <c r="D171" s="7"/>
    </row>
    <row r="172" ht="12.75" customHeight="1">
      <c r="D172" s="7"/>
    </row>
    <row r="173" ht="12.75" customHeight="1">
      <c r="D173" s="7"/>
    </row>
    <row r="174" ht="12.75" customHeight="1">
      <c r="D174" s="7"/>
    </row>
    <row r="175" ht="12.75" customHeight="1">
      <c r="D175" s="7"/>
    </row>
    <row r="176" ht="12.75" customHeight="1">
      <c r="D176" s="7"/>
    </row>
    <row r="177" ht="12.75" customHeight="1">
      <c r="D177" s="7"/>
    </row>
    <row r="178" ht="12.75" customHeight="1">
      <c r="D178" s="7"/>
    </row>
    <row r="179" ht="12.75" customHeight="1">
      <c r="D179" s="7"/>
    </row>
    <row r="180" ht="12.75" customHeight="1">
      <c r="D180" s="7"/>
    </row>
    <row r="181" ht="12.75" customHeight="1">
      <c r="D181" s="7"/>
    </row>
    <row r="182" ht="12.75" customHeight="1">
      <c r="D182" s="7"/>
    </row>
    <row r="183" ht="12.75" customHeight="1">
      <c r="D183" s="7"/>
    </row>
    <row r="184" ht="12.75" customHeight="1">
      <c r="D184" s="7"/>
    </row>
    <row r="185" ht="12.75" customHeight="1">
      <c r="D185" s="7"/>
    </row>
    <row r="186" ht="12.75" customHeight="1">
      <c r="D186" s="7"/>
    </row>
    <row r="187" ht="12.75" customHeight="1">
      <c r="D187" s="7"/>
    </row>
    <row r="188" ht="12.75" customHeight="1">
      <c r="D188" s="7"/>
    </row>
    <row r="189" ht="12.75" customHeight="1">
      <c r="D189" s="7"/>
    </row>
    <row r="190" ht="12.75" customHeight="1">
      <c r="D190" s="7"/>
    </row>
    <row r="191" ht="12.75" customHeight="1">
      <c r="D191" s="7"/>
    </row>
    <row r="192" ht="12.75" customHeight="1">
      <c r="D192" s="7"/>
    </row>
    <row r="193" ht="12.75" customHeight="1">
      <c r="D193" s="7"/>
    </row>
    <row r="194" ht="12.75" customHeight="1">
      <c r="D194" s="7"/>
    </row>
    <row r="195" ht="12.75" customHeight="1">
      <c r="D195" s="7"/>
    </row>
    <row r="196" ht="12.75" customHeight="1">
      <c r="D196" s="7"/>
    </row>
    <row r="197" ht="12.75" customHeight="1">
      <c r="D197" s="7"/>
    </row>
    <row r="198" ht="12.75" customHeight="1">
      <c r="D198" s="7"/>
    </row>
    <row r="199" ht="12.75" customHeight="1">
      <c r="D199" s="7"/>
    </row>
    <row r="200" ht="12.75" customHeight="1">
      <c r="D200" s="7"/>
    </row>
    <row r="201" ht="12.75" customHeight="1">
      <c r="D201" s="7"/>
    </row>
    <row r="202" ht="12.75" customHeight="1">
      <c r="D202" s="7"/>
    </row>
    <row r="203" ht="12.75" customHeight="1">
      <c r="D203" s="7"/>
    </row>
    <row r="204" ht="12.75" customHeight="1">
      <c r="D204" s="7"/>
    </row>
    <row r="205" ht="12.75" customHeight="1">
      <c r="D205" s="7"/>
    </row>
    <row r="206" ht="12.75" customHeight="1">
      <c r="D206" s="7"/>
    </row>
    <row r="207" ht="12.75" customHeight="1">
      <c r="D207" s="7"/>
    </row>
    <row r="208" ht="12.75" customHeight="1">
      <c r="D208" s="7"/>
    </row>
    <row r="209" ht="12.75" customHeight="1">
      <c r="D209" s="7"/>
    </row>
    <row r="210" ht="12.75" customHeight="1">
      <c r="D210" s="7"/>
    </row>
    <row r="211" ht="12.75" customHeight="1">
      <c r="D211" s="7"/>
    </row>
    <row r="212" ht="12.75" customHeight="1">
      <c r="D212" s="7"/>
    </row>
    <row r="213" ht="12.75" customHeight="1">
      <c r="D213" s="7"/>
    </row>
    <row r="214" ht="12.75" customHeight="1">
      <c r="D214" s="7"/>
    </row>
    <row r="215" ht="12.75" customHeight="1">
      <c r="D215" s="7"/>
    </row>
    <row r="216" ht="12.75" customHeight="1">
      <c r="D216" s="7"/>
    </row>
    <row r="217" ht="12.75" customHeight="1">
      <c r="D217" s="7"/>
    </row>
    <row r="218" ht="12.75" customHeight="1">
      <c r="D218" s="7"/>
    </row>
    <row r="219" ht="12.75" customHeight="1">
      <c r="D219" s="7"/>
    </row>
    <row r="220" ht="12.75" customHeight="1">
      <c r="D220" s="7"/>
    </row>
    <row r="221" ht="12.75" customHeight="1">
      <c r="D221" s="7"/>
    </row>
    <row r="222" ht="12.75" customHeight="1">
      <c r="D222" s="7"/>
    </row>
    <row r="223" ht="12.75" customHeight="1">
      <c r="D223" s="7"/>
    </row>
    <row r="224" ht="12.75" customHeight="1">
      <c r="D224" s="7"/>
    </row>
    <row r="225" ht="12.75" customHeight="1">
      <c r="D225" s="7"/>
    </row>
    <row r="226" ht="12.75" customHeight="1">
      <c r="D226" s="7"/>
    </row>
    <row r="227" ht="12.75" customHeight="1">
      <c r="D227" s="7"/>
    </row>
    <row r="228" ht="12.75" customHeight="1">
      <c r="D228" s="7"/>
    </row>
    <row r="229" ht="12.75" customHeight="1">
      <c r="D229" s="7"/>
    </row>
    <row r="230" ht="12.75" customHeight="1">
      <c r="D230" s="7"/>
    </row>
    <row r="231" ht="12.75" customHeight="1">
      <c r="D231" s="7"/>
    </row>
    <row r="232" ht="12.75" customHeight="1">
      <c r="D232" s="7"/>
    </row>
    <row r="233" ht="12.75" customHeight="1">
      <c r="D233" s="7"/>
    </row>
    <row r="234" ht="12.75" customHeight="1">
      <c r="D234" s="7"/>
    </row>
    <row r="235" ht="12.75" customHeight="1">
      <c r="D235" s="7"/>
    </row>
    <row r="236" ht="12.75" customHeight="1">
      <c r="D236" s="7"/>
    </row>
    <row r="237" ht="12.75" customHeight="1">
      <c r="D237" s="7"/>
    </row>
    <row r="238" ht="12.75" customHeight="1">
      <c r="D238" s="7"/>
    </row>
    <row r="239" ht="12.75" customHeight="1">
      <c r="D239" s="7"/>
    </row>
    <row r="240" ht="12.75" customHeight="1">
      <c r="D240" s="7"/>
    </row>
    <row r="241" ht="12.75" customHeight="1">
      <c r="D241" s="7"/>
    </row>
    <row r="242" ht="12.75" customHeight="1">
      <c r="D242" s="7"/>
    </row>
    <row r="243" ht="12.75" customHeight="1">
      <c r="D243" s="7"/>
    </row>
    <row r="244" ht="12.75" customHeight="1">
      <c r="D244" s="7"/>
    </row>
    <row r="245" ht="12.75" customHeight="1">
      <c r="D245" s="7"/>
    </row>
    <row r="246" ht="12.75" customHeight="1">
      <c r="D246" s="7"/>
    </row>
    <row r="247" ht="12.75" customHeight="1">
      <c r="D247" s="7"/>
    </row>
    <row r="248" ht="12.75" customHeight="1">
      <c r="D248" s="7"/>
    </row>
    <row r="249" ht="12.75" customHeight="1">
      <c r="D249" s="7"/>
    </row>
    <row r="250" ht="12.75" customHeight="1">
      <c r="D250" s="7"/>
    </row>
    <row r="251" ht="12.75" customHeight="1">
      <c r="D251" s="7"/>
    </row>
    <row r="252" ht="12.75" customHeight="1">
      <c r="D252" s="7"/>
    </row>
    <row r="253" ht="12.75" customHeight="1">
      <c r="D253" s="7"/>
    </row>
    <row r="254" ht="12.75" customHeight="1">
      <c r="D254" s="7"/>
    </row>
    <row r="255" ht="12.75" customHeight="1">
      <c r="D255" s="7"/>
    </row>
    <row r="256" ht="12.75" customHeight="1">
      <c r="D256" s="7"/>
    </row>
    <row r="257" ht="12.75" customHeight="1">
      <c r="D257" s="7"/>
    </row>
    <row r="258" ht="12.75" customHeight="1">
      <c r="D258" s="7"/>
    </row>
    <row r="259" ht="12.75" customHeight="1">
      <c r="D259" s="7"/>
    </row>
    <row r="260" ht="12.75" customHeight="1">
      <c r="D260" s="7"/>
    </row>
    <row r="261" ht="12.75" customHeight="1">
      <c r="D261" s="7"/>
    </row>
    <row r="262" ht="12.75" customHeight="1">
      <c r="D262" s="7"/>
    </row>
    <row r="263" ht="12.75" customHeight="1">
      <c r="D263" s="7"/>
    </row>
    <row r="264" ht="12.75" customHeight="1">
      <c r="D264" s="7"/>
    </row>
    <row r="265" ht="12.75" customHeight="1">
      <c r="D265" s="7"/>
    </row>
    <row r="266" ht="12.75" customHeight="1">
      <c r="D266" s="7"/>
    </row>
    <row r="267" ht="12.75" customHeight="1">
      <c r="D267" s="7"/>
    </row>
    <row r="268" ht="12.75" customHeight="1">
      <c r="D268" s="7"/>
    </row>
    <row r="269" ht="12.75" customHeight="1">
      <c r="D269" s="7"/>
    </row>
    <row r="270" ht="12.75" customHeight="1">
      <c r="D270" s="7"/>
    </row>
    <row r="271" ht="12.75" customHeight="1">
      <c r="D271" s="7"/>
    </row>
    <row r="272" ht="12.75" customHeight="1">
      <c r="D272" s="7"/>
    </row>
    <row r="273" ht="12.75" customHeight="1">
      <c r="D273" s="7"/>
    </row>
    <row r="274" ht="12.75" customHeight="1">
      <c r="D274" s="7"/>
    </row>
    <row r="275" ht="12.75" customHeight="1">
      <c r="D275" s="7"/>
    </row>
    <row r="276" ht="12.75" customHeight="1">
      <c r="D276" s="7"/>
    </row>
    <row r="277" ht="12.75" customHeight="1">
      <c r="D277" s="7"/>
    </row>
    <row r="278" ht="12.75" customHeight="1">
      <c r="D278" s="7"/>
    </row>
    <row r="279" ht="12.75" customHeight="1">
      <c r="D279" s="7"/>
    </row>
    <row r="280" ht="12.75" customHeight="1">
      <c r="D280" s="7"/>
    </row>
    <row r="281" ht="12.75" customHeight="1">
      <c r="D281" s="7"/>
    </row>
    <row r="282" ht="12.75" customHeight="1">
      <c r="D282" s="7"/>
    </row>
    <row r="283" ht="12.75" customHeight="1">
      <c r="D283" s="7"/>
    </row>
    <row r="284" ht="12.75" customHeight="1">
      <c r="D284" s="7"/>
    </row>
    <row r="285" ht="12.75" customHeight="1">
      <c r="D285" s="7"/>
    </row>
    <row r="286" ht="12.75" customHeight="1">
      <c r="D286" s="7"/>
    </row>
    <row r="287" ht="12.75" customHeight="1">
      <c r="D287" s="7"/>
    </row>
    <row r="288" ht="12.75" customHeight="1">
      <c r="D288" s="7"/>
    </row>
    <row r="289" ht="12.75" customHeight="1">
      <c r="D289" s="7"/>
    </row>
    <row r="290" ht="12.75" customHeight="1">
      <c r="D290" s="7"/>
    </row>
    <row r="291" ht="12.75" customHeight="1">
      <c r="D291" s="7"/>
    </row>
    <row r="292" ht="12.75" customHeight="1">
      <c r="D292" s="7"/>
    </row>
    <row r="293" ht="12.75" customHeight="1">
      <c r="D293" s="7"/>
    </row>
    <row r="294" ht="12.75" customHeight="1">
      <c r="D294" s="7"/>
    </row>
    <row r="295" ht="12.75" customHeight="1">
      <c r="D295" s="7"/>
    </row>
    <row r="296" ht="12.75" customHeight="1">
      <c r="D296" s="7"/>
    </row>
    <row r="297" ht="12.75" customHeight="1">
      <c r="D297" s="7"/>
    </row>
    <row r="298" ht="12.75" customHeight="1">
      <c r="D298" s="7"/>
    </row>
    <row r="299" ht="12.75" customHeight="1">
      <c r="D299" s="7"/>
    </row>
    <row r="300" ht="12.75" customHeight="1">
      <c r="D300" s="7"/>
    </row>
    <row r="301" ht="12.75" customHeight="1">
      <c r="D301" s="7"/>
    </row>
    <row r="302" ht="12.75" customHeight="1">
      <c r="D302" s="7"/>
    </row>
    <row r="303" ht="12.75" customHeight="1">
      <c r="D303" s="7"/>
    </row>
    <row r="304" ht="12.75" customHeight="1">
      <c r="D304" s="7"/>
    </row>
    <row r="305" ht="12.75" customHeight="1">
      <c r="D305" s="7"/>
    </row>
    <row r="306" ht="12.75" customHeight="1">
      <c r="D306" s="7"/>
    </row>
    <row r="307" ht="12.75" customHeight="1">
      <c r="D307" s="7"/>
    </row>
    <row r="308" ht="12.75" customHeight="1">
      <c r="D308" s="7"/>
    </row>
    <row r="309" ht="12.75" customHeight="1">
      <c r="D309" s="7"/>
    </row>
    <row r="310" ht="12.75" customHeight="1">
      <c r="D310" s="7"/>
    </row>
    <row r="311" ht="12.75" customHeight="1">
      <c r="D311" s="7"/>
    </row>
    <row r="312" ht="12.75" customHeight="1">
      <c r="D312" s="7"/>
    </row>
    <row r="313" ht="12.75" customHeight="1">
      <c r="D313" s="7"/>
    </row>
    <row r="314" ht="12.75" customHeight="1">
      <c r="D314" s="7"/>
    </row>
    <row r="315" ht="12.75" customHeight="1">
      <c r="D315" s="7"/>
    </row>
    <row r="316" ht="12.75" customHeight="1">
      <c r="D316" s="7"/>
    </row>
    <row r="317" ht="12.75" customHeight="1">
      <c r="D317" s="7"/>
    </row>
    <row r="318" ht="12.75" customHeight="1">
      <c r="D318" s="7"/>
    </row>
    <row r="319" ht="12.75" customHeight="1">
      <c r="D319" s="7"/>
    </row>
    <row r="320" ht="12.75" customHeight="1">
      <c r="D320" s="7"/>
    </row>
    <row r="321" ht="12.75" customHeight="1">
      <c r="D321" s="7"/>
    </row>
    <row r="322" ht="12.75" customHeight="1">
      <c r="D322" s="7"/>
    </row>
    <row r="323" ht="12.75" customHeight="1">
      <c r="D323" s="7"/>
    </row>
    <row r="324" ht="12.75" customHeight="1">
      <c r="D324" s="7"/>
    </row>
    <row r="325" ht="12.75" customHeight="1">
      <c r="D325" s="7"/>
    </row>
    <row r="326" ht="12.75" customHeight="1">
      <c r="D326" s="7"/>
    </row>
    <row r="327" ht="12.75" customHeight="1">
      <c r="D327" s="7"/>
    </row>
    <row r="328" ht="12.75" customHeight="1">
      <c r="D328" s="7"/>
    </row>
    <row r="329" ht="12.75" customHeight="1">
      <c r="D329" s="7"/>
    </row>
    <row r="330" ht="12.75" customHeight="1">
      <c r="D330" s="7"/>
    </row>
    <row r="331" ht="12.75" customHeight="1">
      <c r="D331" s="7"/>
    </row>
    <row r="332" ht="12.75" customHeight="1">
      <c r="D332" s="7"/>
    </row>
    <row r="333" ht="12.75" customHeight="1">
      <c r="D333" s="7"/>
    </row>
    <row r="334" ht="12.75" customHeight="1">
      <c r="D334" s="7"/>
    </row>
    <row r="335" ht="12.75" customHeight="1">
      <c r="D335" s="7"/>
    </row>
    <row r="336" ht="12.75" customHeight="1">
      <c r="D336" s="7"/>
    </row>
    <row r="337" ht="12.75" customHeight="1">
      <c r="D337" s="7"/>
    </row>
    <row r="338" ht="12.75" customHeight="1">
      <c r="D338" s="7"/>
    </row>
    <row r="339" ht="12.75" customHeight="1">
      <c r="D339" s="7"/>
    </row>
    <row r="340" ht="12.75" customHeight="1">
      <c r="D340" s="7"/>
    </row>
    <row r="341" ht="12.75" customHeight="1">
      <c r="D341" s="7"/>
    </row>
    <row r="342" ht="12.75" customHeight="1">
      <c r="D342" s="7"/>
    </row>
    <row r="343" ht="12.75" customHeight="1">
      <c r="D343" s="7"/>
    </row>
    <row r="344" ht="12.75" customHeight="1">
      <c r="D344" s="7"/>
    </row>
    <row r="345" ht="12.75" customHeight="1">
      <c r="D345" s="7"/>
    </row>
    <row r="346" ht="12.75" customHeight="1">
      <c r="D346" s="7"/>
    </row>
    <row r="347" ht="12.75" customHeight="1">
      <c r="D347" s="7"/>
    </row>
    <row r="348" ht="12.75" customHeight="1">
      <c r="D348" s="7"/>
    </row>
    <row r="349" ht="12.75" customHeight="1">
      <c r="D349" s="7"/>
    </row>
    <row r="350" ht="12.75" customHeight="1">
      <c r="D350" s="7"/>
    </row>
    <row r="351" ht="12.75" customHeight="1">
      <c r="D351" s="7"/>
    </row>
    <row r="352" ht="12.75" customHeight="1">
      <c r="D352" s="7"/>
    </row>
    <row r="353" ht="12.75" customHeight="1">
      <c r="D353" s="7"/>
    </row>
    <row r="354" ht="12.75" customHeight="1">
      <c r="D354" s="7"/>
    </row>
    <row r="355" ht="12.75" customHeight="1">
      <c r="D355" s="7"/>
    </row>
    <row r="356" ht="12.75" customHeight="1">
      <c r="D356" s="7"/>
    </row>
    <row r="357" ht="12.75" customHeight="1">
      <c r="D357" s="7"/>
    </row>
    <row r="358" ht="12.75" customHeight="1">
      <c r="D358" s="7"/>
    </row>
    <row r="359" ht="12.75" customHeight="1">
      <c r="D359" s="7"/>
    </row>
    <row r="360" ht="12.75" customHeight="1">
      <c r="D360" s="7"/>
    </row>
    <row r="361" ht="12.75" customHeight="1">
      <c r="D361" s="7"/>
    </row>
    <row r="362" ht="12.75" customHeight="1">
      <c r="D362" s="7"/>
    </row>
    <row r="363" ht="12.75" customHeight="1">
      <c r="D363" s="7"/>
    </row>
    <row r="364" ht="12.75" customHeight="1">
      <c r="D364" s="7"/>
    </row>
    <row r="365" ht="12.75" customHeight="1">
      <c r="D365" s="7"/>
    </row>
    <row r="366" ht="12.75" customHeight="1">
      <c r="D366" s="7"/>
    </row>
    <row r="367" ht="12.75" customHeight="1">
      <c r="D367" s="7"/>
    </row>
    <row r="368" ht="12.75" customHeight="1">
      <c r="D368" s="7"/>
    </row>
    <row r="369" ht="12.75" customHeight="1">
      <c r="D369" s="7"/>
    </row>
    <row r="370" ht="12.75" customHeight="1">
      <c r="D370" s="7"/>
    </row>
    <row r="371" ht="12.75" customHeight="1">
      <c r="D371" s="7"/>
    </row>
    <row r="372" ht="12.75" customHeight="1">
      <c r="D372" s="7"/>
    </row>
    <row r="373" ht="12.75" customHeight="1">
      <c r="D373" s="7"/>
    </row>
    <row r="374" ht="12.75" customHeight="1">
      <c r="D374" s="7"/>
    </row>
    <row r="375" ht="12.75" customHeight="1">
      <c r="D375" s="7"/>
    </row>
    <row r="376" ht="12.75" customHeight="1">
      <c r="D376" s="7"/>
    </row>
    <row r="377" ht="12.75" customHeight="1">
      <c r="D377" s="7"/>
    </row>
    <row r="378" ht="12.75" customHeight="1">
      <c r="D378" s="7"/>
    </row>
    <row r="379" ht="12.75" customHeight="1">
      <c r="D379" s="7"/>
    </row>
    <row r="380" ht="12.75" customHeight="1">
      <c r="D380" s="7"/>
    </row>
    <row r="381" ht="12.75" customHeight="1">
      <c r="D381" s="7"/>
    </row>
    <row r="382" ht="12.75" customHeight="1">
      <c r="D382" s="7"/>
    </row>
    <row r="383" ht="12.75" customHeight="1">
      <c r="D383" s="7"/>
    </row>
    <row r="384" ht="12.75" customHeight="1">
      <c r="D384" s="7"/>
    </row>
    <row r="385" ht="12.75" customHeight="1">
      <c r="D385" s="7"/>
    </row>
    <row r="386" ht="12.75" customHeight="1">
      <c r="D386" s="7"/>
    </row>
    <row r="387" ht="12.75" customHeight="1">
      <c r="D387" s="7"/>
    </row>
    <row r="388" ht="12.75" customHeight="1">
      <c r="D388" s="7"/>
    </row>
    <row r="389" ht="12.75" customHeight="1">
      <c r="D389" s="7"/>
    </row>
    <row r="390" ht="12.75" customHeight="1">
      <c r="D390" s="7"/>
    </row>
    <row r="391" ht="12.75" customHeight="1">
      <c r="D391" s="7"/>
    </row>
    <row r="392" ht="12.75" customHeight="1">
      <c r="D392" s="7"/>
    </row>
    <row r="393" ht="12.75" customHeight="1">
      <c r="D393" s="7"/>
    </row>
    <row r="394" ht="12.75" customHeight="1">
      <c r="D394" s="7"/>
    </row>
    <row r="395" ht="12.75" customHeight="1">
      <c r="D395" s="7"/>
    </row>
    <row r="396" ht="12.75" customHeight="1">
      <c r="D396" s="7"/>
    </row>
    <row r="397" ht="12.75" customHeight="1">
      <c r="D397" s="7"/>
    </row>
    <row r="398" ht="12.75" customHeight="1">
      <c r="D398" s="7"/>
    </row>
    <row r="399" ht="12.75" customHeight="1">
      <c r="D399" s="7"/>
    </row>
    <row r="400" ht="12.75" customHeight="1">
      <c r="D400" s="7"/>
    </row>
    <row r="401" ht="12.75" customHeight="1">
      <c r="D401" s="7"/>
    </row>
    <row r="402" ht="12.75" customHeight="1">
      <c r="D402" s="7"/>
    </row>
    <row r="403" ht="12.75" customHeight="1">
      <c r="D403" s="7"/>
    </row>
    <row r="404" ht="12.75" customHeight="1">
      <c r="D404" s="7"/>
    </row>
    <row r="405" ht="12.75" customHeight="1">
      <c r="D405" s="7"/>
    </row>
    <row r="406" ht="12.75" customHeight="1">
      <c r="D406" s="7"/>
    </row>
    <row r="407" ht="12.75" customHeight="1">
      <c r="D407" s="7"/>
    </row>
    <row r="408" ht="12.75" customHeight="1">
      <c r="D408" s="7"/>
    </row>
    <row r="409" ht="12.75" customHeight="1">
      <c r="D409" s="7"/>
    </row>
    <row r="410" ht="12.75" customHeight="1">
      <c r="D410" s="7"/>
    </row>
    <row r="411" ht="12.75" customHeight="1">
      <c r="D411" s="7"/>
    </row>
    <row r="412" ht="12.75" customHeight="1">
      <c r="D412" s="7"/>
    </row>
    <row r="413" ht="12.75" customHeight="1">
      <c r="D413" s="7"/>
    </row>
    <row r="414" ht="12.75" customHeight="1">
      <c r="D414" s="7"/>
    </row>
    <row r="415" ht="12.75" customHeight="1">
      <c r="D415" s="7"/>
    </row>
    <row r="416" ht="12.75" customHeight="1">
      <c r="D416" s="7"/>
    </row>
    <row r="417" ht="12.75" customHeight="1">
      <c r="D417" s="7"/>
    </row>
    <row r="418" ht="12.75" customHeight="1">
      <c r="D418" s="7"/>
    </row>
    <row r="419" ht="12.75" customHeight="1">
      <c r="D419" s="7"/>
    </row>
    <row r="420" ht="12.75" customHeight="1">
      <c r="D420" s="7"/>
    </row>
    <row r="421" ht="12.75" customHeight="1">
      <c r="D421" s="7"/>
    </row>
    <row r="422" ht="12.75" customHeight="1">
      <c r="D422" s="7"/>
    </row>
    <row r="423" ht="12.75" customHeight="1">
      <c r="D423" s="7"/>
    </row>
    <row r="424" ht="12.75" customHeight="1">
      <c r="D424" s="7"/>
    </row>
    <row r="425" ht="12.75" customHeight="1">
      <c r="D425" s="7"/>
    </row>
    <row r="426" ht="12.75" customHeight="1">
      <c r="D426" s="7"/>
    </row>
    <row r="427" ht="12.75" customHeight="1">
      <c r="D427" s="7"/>
    </row>
    <row r="428" ht="12.75" customHeight="1">
      <c r="D428" s="7"/>
    </row>
    <row r="429" ht="12.75" customHeight="1">
      <c r="D429" s="7"/>
    </row>
    <row r="430" ht="12.75" customHeight="1">
      <c r="D430" s="7"/>
    </row>
    <row r="431" ht="12.75" customHeight="1">
      <c r="D431" s="7"/>
    </row>
    <row r="432" ht="12.75" customHeight="1">
      <c r="D432" s="7"/>
    </row>
    <row r="433" ht="12.75" customHeight="1">
      <c r="D433" s="7"/>
    </row>
    <row r="434" ht="12.75" customHeight="1">
      <c r="D434" s="7"/>
    </row>
    <row r="435" ht="12.75" customHeight="1">
      <c r="D435" s="7"/>
    </row>
    <row r="436" ht="12.75" customHeight="1">
      <c r="D436" s="7"/>
    </row>
    <row r="437" ht="12.75" customHeight="1">
      <c r="D437" s="7"/>
    </row>
    <row r="438" ht="12.75" customHeight="1">
      <c r="D438" s="7"/>
    </row>
    <row r="439" ht="12.75" customHeight="1">
      <c r="D439" s="7"/>
    </row>
    <row r="440" ht="12.75" customHeight="1">
      <c r="D440" s="7"/>
    </row>
    <row r="441" ht="12.75" customHeight="1">
      <c r="D441" s="7"/>
    </row>
    <row r="442" ht="12.75" customHeight="1">
      <c r="D442" s="7"/>
    </row>
    <row r="443" ht="12.75" customHeight="1">
      <c r="D443" s="7"/>
    </row>
    <row r="444" ht="12.75" customHeight="1">
      <c r="D444" s="7"/>
    </row>
    <row r="445" ht="12.75" customHeight="1">
      <c r="D445" s="7"/>
    </row>
    <row r="446" ht="12.75" customHeight="1">
      <c r="D446" s="7"/>
    </row>
    <row r="447" ht="12.75" customHeight="1">
      <c r="D447" s="7"/>
    </row>
    <row r="448" ht="12.75" customHeight="1">
      <c r="D448" s="7"/>
    </row>
    <row r="449" ht="12.75" customHeight="1">
      <c r="D449" s="7"/>
    </row>
    <row r="450" ht="12.75" customHeight="1">
      <c r="D450" s="7"/>
    </row>
    <row r="451" ht="12.75" customHeight="1">
      <c r="D451" s="7"/>
    </row>
    <row r="452" ht="12.75" customHeight="1">
      <c r="D452" s="7"/>
    </row>
    <row r="453" ht="12.75" customHeight="1">
      <c r="D453" s="7"/>
    </row>
    <row r="454" ht="12.75" customHeight="1">
      <c r="D454" s="7"/>
    </row>
    <row r="455" ht="12.75" customHeight="1">
      <c r="D455" s="7"/>
    </row>
    <row r="456" ht="12.75" customHeight="1">
      <c r="D456" s="7"/>
    </row>
    <row r="457" ht="12.75" customHeight="1">
      <c r="D457" s="7"/>
    </row>
    <row r="458" ht="12.75" customHeight="1">
      <c r="D458" s="7"/>
    </row>
    <row r="459" ht="12.75" customHeight="1">
      <c r="D459" s="7"/>
    </row>
    <row r="460" ht="12.75" customHeight="1">
      <c r="D460" s="7"/>
    </row>
    <row r="461" ht="12.75" customHeight="1">
      <c r="D461" s="7"/>
    </row>
    <row r="462" ht="12.75" customHeight="1">
      <c r="D462" s="7"/>
    </row>
    <row r="463" ht="12.75" customHeight="1">
      <c r="D463" s="7"/>
    </row>
    <row r="464" ht="12.75" customHeight="1">
      <c r="D464" s="7"/>
    </row>
    <row r="465" ht="12.75" customHeight="1">
      <c r="D465" s="7"/>
    </row>
    <row r="466" ht="12.75" customHeight="1">
      <c r="D466" s="7"/>
    </row>
    <row r="467" ht="12.75" customHeight="1">
      <c r="D467" s="7"/>
    </row>
    <row r="468" ht="12.75" customHeight="1">
      <c r="D468" s="7"/>
    </row>
    <row r="469" ht="12.75" customHeight="1">
      <c r="D469" s="7"/>
    </row>
    <row r="470" ht="12.75" customHeight="1">
      <c r="D470" s="7"/>
    </row>
    <row r="471" ht="12.75" customHeight="1">
      <c r="D471" s="7"/>
    </row>
    <row r="472" ht="12.75" customHeight="1">
      <c r="D472" s="7"/>
    </row>
    <row r="473" ht="12.75" customHeight="1">
      <c r="D473" s="7"/>
    </row>
    <row r="474" ht="12.75" customHeight="1">
      <c r="D474" s="7"/>
    </row>
    <row r="475" ht="12.75" customHeight="1">
      <c r="D475" s="7"/>
    </row>
    <row r="476" ht="12.75" customHeight="1">
      <c r="D476" s="7"/>
    </row>
    <row r="477" ht="12.75" customHeight="1">
      <c r="D477" s="7"/>
    </row>
    <row r="478" ht="12.75" customHeight="1">
      <c r="D478" s="7"/>
    </row>
    <row r="479" ht="12.75" customHeight="1">
      <c r="D479" s="7"/>
    </row>
    <row r="480" ht="12.75" customHeight="1">
      <c r="D480" s="7"/>
    </row>
    <row r="481" ht="12.75" customHeight="1">
      <c r="D481" s="7"/>
    </row>
    <row r="482" ht="12.75" customHeight="1">
      <c r="D482" s="7"/>
    </row>
    <row r="483" ht="12.75" customHeight="1">
      <c r="D483" s="7"/>
    </row>
    <row r="484" ht="12.75" customHeight="1">
      <c r="D484" s="7"/>
    </row>
    <row r="485" ht="12.75" customHeight="1">
      <c r="D485" s="7"/>
    </row>
    <row r="486" ht="12.75" customHeight="1">
      <c r="D486" s="7"/>
    </row>
    <row r="487" ht="12.75" customHeight="1">
      <c r="D487" s="7"/>
    </row>
    <row r="488" ht="12.75" customHeight="1">
      <c r="D488" s="7"/>
    </row>
    <row r="489" ht="12.75" customHeight="1">
      <c r="D489" s="7"/>
    </row>
    <row r="490" ht="12.75" customHeight="1">
      <c r="D490" s="7"/>
    </row>
    <row r="491" ht="12.75" customHeight="1">
      <c r="D491" s="7"/>
    </row>
    <row r="492" ht="12.75" customHeight="1">
      <c r="D492" s="7"/>
    </row>
    <row r="493" ht="12.75" customHeight="1">
      <c r="D493" s="7"/>
    </row>
    <row r="494" ht="12.75" customHeight="1">
      <c r="D494" s="7"/>
    </row>
    <row r="495" ht="12.75" customHeight="1">
      <c r="D495" s="7"/>
    </row>
    <row r="496" ht="12.75" customHeight="1">
      <c r="D496" s="7"/>
    </row>
    <row r="497" ht="12.75" customHeight="1">
      <c r="D497" s="7"/>
    </row>
    <row r="498" ht="12.75" customHeight="1">
      <c r="D498" s="7"/>
    </row>
    <row r="499" ht="12.75" customHeight="1">
      <c r="D499" s="7"/>
    </row>
    <row r="500" ht="12.75" customHeight="1">
      <c r="D500" s="7"/>
    </row>
    <row r="501" ht="12.75" customHeight="1">
      <c r="D501" s="7"/>
    </row>
    <row r="502" ht="12.75" customHeight="1">
      <c r="D502" s="7"/>
    </row>
    <row r="503" ht="12.75" customHeight="1">
      <c r="D503" s="7"/>
    </row>
    <row r="504" ht="12.75" customHeight="1">
      <c r="D504" s="7"/>
    </row>
    <row r="505" ht="12.75" customHeight="1">
      <c r="D505" s="7"/>
    </row>
    <row r="506" ht="12.75" customHeight="1">
      <c r="D506" s="7"/>
    </row>
    <row r="507" ht="12.75" customHeight="1">
      <c r="D507" s="7"/>
    </row>
    <row r="508" ht="12.75" customHeight="1">
      <c r="D508" s="7"/>
    </row>
    <row r="509" ht="12.75" customHeight="1">
      <c r="D509" s="7"/>
    </row>
    <row r="510" ht="12.75" customHeight="1">
      <c r="D510" s="7"/>
    </row>
    <row r="511" ht="12.75" customHeight="1">
      <c r="D511" s="7"/>
    </row>
    <row r="512" ht="12.75" customHeight="1">
      <c r="D512" s="7"/>
    </row>
    <row r="513" ht="12.75" customHeight="1">
      <c r="D513" s="7"/>
    </row>
    <row r="514" ht="12.75" customHeight="1">
      <c r="D514" s="7"/>
    </row>
    <row r="515" ht="12.75" customHeight="1">
      <c r="D515" s="7"/>
    </row>
    <row r="516" ht="12.75" customHeight="1">
      <c r="D516" s="7"/>
    </row>
    <row r="517" ht="12.75" customHeight="1">
      <c r="D517" s="7"/>
    </row>
    <row r="518" ht="12.75" customHeight="1">
      <c r="D518" s="7"/>
    </row>
    <row r="519" ht="12.75" customHeight="1">
      <c r="D519" s="7"/>
    </row>
    <row r="520" ht="12.75" customHeight="1">
      <c r="D520" s="7"/>
    </row>
    <row r="521" ht="12.75" customHeight="1">
      <c r="D521" s="7"/>
    </row>
    <row r="522" ht="12.75" customHeight="1">
      <c r="D522" s="7"/>
    </row>
    <row r="523" ht="12.75" customHeight="1">
      <c r="D523" s="7"/>
    </row>
    <row r="524" ht="12.75" customHeight="1">
      <c r="D524" s="7"/>
    </row>
    <row r="525" ht="12.75" customHeight="1">
      <c r="D525" s="7"/>
    </row>
    <row r="526" ht="12.75" customHeight="1">
      <c r="D526" s="7"/>
    </row>
    <row r="527" ht="12.75" customHeight="1">
      <c r="D527" s="7"/>
    </row>
    <row r="528" ht="12.75" customHeight="1">
      <c r="D528" s="7"/>
    </row>
    <row r="529" ht="12.75" customHeight="1">
      <c r="D529" s="7"/>
    </row>
    <row r="530" ht="12.75" customHeight="1">
      <c r="D530" s="7"/>
    </row>
    <row r="531" ht="12.75" customHeight="1">
      <c r="D531" s="7"/>
    </row>
    <row r="532" ht="12.75" customHeight="1">
      <c r="D532" s="7"/>
    </row>
    <row r="533" ht="12.75" customHeight="1">
      <c r="D533" s="7"/>
    </row>
    <row r="534" ht="12.75" customHeight="1">
      <c r="D534" s="7"/>
    </row>
    <row r="535" ht="12.75" customHeight="1">
      <c r="D535" s="7"/>
    </row>
    <row r="536" ht="12.75" customHeight="1">
      <c r="D536" s="7"/>
    </row>
    <row r="537" ht="12.75" customHeight="1">
      <c r="D537" s="7"/>
    </row>
    <row r="538" ht="12.75" customHeight="1">
      <c r="D538" s="7"/>
    </row>
    <row r="539" ht="12.75" customHeight="1">
      <c r="D539" s="7"/>
    </row>
    <row r="540" ht="12.75" customHeight="1">
      <c r="D540" s="7"/>
    </row>
    <row r="541" ht="12.75" customHeight="1">
      <c r="D541" s="7"/>
    </row>
    <row r="542" ht="12.75" customHeight="1">
      <c r="D542" s="7"/>
    </row>
    <row r="543" ht="12.75" customHeight="1">
      <c r="D543" s="7"/>
    </row>
    <row r="544" ht="12.75" customHeight="1">
      <c r="D544" s="7"/>
    </row>
    <row r="545" ht="12.75" customHeight="1">
      <c r="D545" s="7"/>
    </row>
    <row r="546" ht="12.75" customHeight="1">
      <c r="D546" s="7"/>
    </row>
    <row r="547" ht="12.75" customHeight="1">
      <c r="D547" s="7"/>
    </row>
    <row r="548" ht="12.75" customHeight="1">
      <c r="D548" s="7"/>
    </row>
    <row r="549" ht="12.75" customHeight="1">
      <c r="D549" s="7"/>
    </row>
    <row r="550" ht="12.75" customHeight="1">
      <c r="D550" s="7"/>
    </row>
    <row r="551" ht="12.75" customHeight="1">
      <c r="D551" s="7"/>
    </row>
    <row r="552" ht="12.75" customHeight="1">
      <c r="D552" s="7"/>
    </row>
    <row r="553" ht="12.75" customHeight="1">
      <c r="D553" s="7"/>
    </row>
    <row r="554" ht="12.75" customHeight="1">
      <c r="D554" s="7"/>
    </row>
    <row r="555" ht="12.75" customHeight="1">
      <c r="D555" s="7"/>
    </row>
    <row r="556" ht="12.75" customHeight="1">
      <c r="D556" s="7"/>
    </row>
    <row r="557" ht="12.75" customHeight="1">
      <c r="D557" s="7"/>
    </row>
    <row r="558" ht="12.75" customHeight="1">
      <c r="D558" s="7"/>
    </row>
    <row r="559" ht="12.75" customHeight="1">
      <c r="D559" s="7"/>
    </row>
    <row r="560" ht="12.75" customHeight="1">
      <c r="D560" s="7"/>
    </row>
    <row r="561" ht="12.75" customHeight="1">
      <c r="D561" s="7"/>
    </row>
    <row r="562" ht="12.75" customHeight="1">
      <c r="D562" s="7"/>
    </row>
    <row r="563" ht="12.75" customHeight="1">
      <c r="D563" s="7"/>
    </row>
    <row r="564" ht="12.75" customHeight="1">
      <c r="D564" s="7"/>
    </row>
    <row r="565" ht="12.75" customHeight="1">
      <c r="D565" s="7"/>
    </row>
    <row r="566" ht="12.75" customHeight="1">
      <c r="D566" s="7"/>
    </row>
    <row r="567" ht="12.75" customHeight="1">
      <c r="D567" s="7"/>
    </row>
    <row r="568" ht="12.75" customHeight="1">
      <c r="D568" s="7"/>
    </row>
    <row r="569" ht="12.75" customHeight="1">
      <c r="D569" s="7"/>
    </row>
    <row r="570" ht="12.75" customHeight="1">
      <c r="D570" s="7"/>
    </row>
    <row r="571" ht="12.75" customHeight="1">
      <c r="D571" s="7"/>
    </row>
    <row r="572" ht="12.75" customHeight="1">
      <c r="D572" s="7"/>
    </row>
    <row r="573" ht="12.75" customHeight="1">
      <c r="D573" s="7"/>
    </row>
    <row r="574" ht="12.75" customHeight="1">
      <c r="D574" s="7"/>
    </row>
    <row r="575" ht="12.75" customHeight="1">
      <c r="D575" s="7"/>
    </row>
    <row r="576" ht="12.75" customHeight="1">
      <c r="D576" s="7"/>
    </row>
    <row r="577" ht="12.75" customHeight="1">
      <c r="D577" s="7"/>
    </row>
    <row r="578" ht="12.75" customHeight="1">
      <c r="D578" s="7"/>
    </row>
    <row r="579" ht="12.75" customHeight="1">
      <c r="D579" s="7"/>
    </row>
    <row r="580" ht="12.75" customHeight="1">
      <c r="D580" s="7"/>
    </row>
    <row r="581" ht="12.75" customHeight="1">
      <c r="D581" s="7"/>
    </row>
    <row r="582" ht="12.75" customHeight="1">
      <c r="D582" s="7"/>
    </row>
    <row r="583" ht="12.75" customHeight="1">
      <c r="D583" s="7"/>
    </row>
    <row r="584" ht="12.75" customHeight="1">
      <c r="D584" s="7"/>
    </row>
    <row r="585" ht="12.75" customHeight="1">
      <c r="D585" s="7"/>
    </row>
    <row r="586" ht="12.75" customHeight="1">
      <c r="D586" s="7"/>
    </row>
    <row r="587" ht="12.75" customHeight="1">
      <c r="D587" s="7"/>
    </row>
    <row r="588" ht="12.75" customHeight="1">
      <c r="D588" s="7"/>
    </row>
    <row r="589" ht="12.75" customHeight="1">
      <c r="D589" s="7"/>
    </row>
    <row r="590" ht="12.75" customHeight="1">
      <c r="D590" s="7"/>
    </row>
    <row r="591" ht="12.75" customHeight="1">
      <c r="D591" s="7"/>
    </row>
    <row r="592" ht="12.75" customHeight="1">
      <c r="D592" s="7"/>
    </row>
    <row r="593" ht="12.75" customHeight="1">
      <c r="D593" s="7"/>
    </row>
    <row r="594" ht="12.75" customHeight="1">
      <c r="D594" s="7"/>
    </row>
    <row r="595" ht="12.75" customHeight="1">
      <c r="D595" s="7"/>
    </row>
    <row r="596" ht="12.75" customHeight="1">
      <c r="D596" s="7"/>
    </row>
    <row r="597" ht="12.75" customHeight="1">
      <c r="D597" s="7"/>
    </row>
    <row r="598" ht="12.75" customHeight="1">
      <c r="D598" s="7"/>
    </row>
    <row r="599" ht="12.75" customHeight="1">
      <c r="D599" s="7"/>
    </row>
    <row r="600" ht="12.75" customHeight="1">
      <c r="D600" s="7"/>
    </row>
    <row r="601" ht="12.75" customHeight="1">
      <c r="D601" s="7"/>
    </row>
    <row r="602" ht="12.75" customHeight="1">
      <c r="D602" s="7"/>
    </row>
    <row r="603" ht="12.75" customHeight="1">
      <c r="D603" s="7"/>
    </row>
    <row r="604" ht="12.75" customHeight="1">
      <c r="D604" s="7"/>
    </row>
    <row r="605" ht="12.75" customHeight="1">
      <c r="D605" s="7"/>
    </row>
    <row r="606" ht="12.75" customHeight="1">
      <c r="D606" s="7"/>
    </row>
    <row r="607" ht="12.75" customHeight="1">
      <c r="D607" s="7"/>
    </row>
    <row r="608" ht="12.75" customHeight="1">
      <c r="D608" s="7"/>
    </row>
    <row r="609" ht="12.75" customHeight="1">
      <c r="D609" s="7"/>
    </row>
    <row r="610" ht="12.75" customHeight="1">
      <c r="D610" s="7"/>
    </row>
    <row r="611" ht="12.75" customHeight="1">
      <c r="D611" s="7"/>
    </row>
    <row r="612" ht="12.75" customHeight="1">
      <c r="D612" s="7"/>
    </row>
    <row r="613" ht="12.75" customHeight="1">
      <c r="D613" s="7"/>
    </row>
    <row r="614" ht="12.75" customHeight="1">
      <c r="D614" s="7"/>
    </row>
    <row r="615" ht="12.75" customHeight="1">
      <c r="D615" s="7"/>
    </row>
    <row r="616" ht="12.75" customHeight="1">
      <c r="D616" s="7"/>
    </row>
    <row r="617" ht="12.75" customHeight="1">
      <c r="D617" s="7"/>
    </row>
    <row r="618" ht="12.75" customHeight="1">
      <c r="D618" s="7"/>
    </row>
    <row r="619" ht="12.75" customHeight="1">
      <c r="D619" s="7"/>
    </row>
    <row r="620" ht="12.75" customHeight="1">
      <c r="D620" s="7"/>
    </row>
    <row r="621" ht="12.75" customHeight="1">
      <c r="D621" s="7"/>
    </row>
    <row r="622" ht="12.75" customHeight="1">
      <c r="D622" s="7"/>
    </row>
    <row r="623" ht="12.75" customHeight="1">
      <c r="D623" s="7"/>
    </row>
    <row r="624" ht="12.75" customHeight="1">
      <c r="D624" s="7"/>
    </row>
    <row r="625" ht="12.75" customHeight="1">
      <c r="D625" s="7"/>
    </row>
    <row r="626" ht="12.75" customHeight="1">
      <c r="D626" s="7"/>
    </row>
    <row r="627" ht="12.75" customHeight="1">
      <c r="D627" s="7"/>
    </row>
    <row r="628" ht="12.75" customHeight="1">
      <c r="D628" s="7"/>
    </row>
    <row r="629" ht="12.75" customHeight="1">
      <c r="D629" s="7"/>
    </row>
    <row r="630" ht="12.75" customHeight="1">
      <c r="D630" s="7"/>
    </row>
    <row r="631" ht="12.75" customHeight="1">
      <c r="D631" s="7"/>
    </row>
    <row r="632" ht="12.75" customHeight="1">
      <c r="D632" s="7"/>
    </row>
    <row r="633" ht="12.75" customHeight="1">
      <c r="D633" s="7"/>
    </row>
    <row r="634" ht="12.75" customHeight="1">
      <c r="D634" s="7"/>
    </row>
    <row r="635" ht="12.75" customHeight="1">
      <c r="D635" s="7"/>
    </row>
    <row r="636" ht="12.75" customHeight="1">
      <c r="D636" s="7"/>
    </row>
    <row r="637" ht="12.75" customHeight="1">
      <c r="D637" s="7"/>
    </row>
    <row r="638" ht="12.75" customHeight="1">
      <c r="D638" s="7"/>
    </row>
    <row r="639" ht="12.75" customHeight="1">
      <c r="D639" s="7"/>
    </row>
    <row r="640" ht="12.75" customHeight="1">
      <c r="D640" s="7"/>
    </row>
    <row r="641" ht="12.75" customHeight="1">
      <c r="D641" s="7"/>
    </row>
    <row r="642" ht="12.75" customHeight="1">
      <c r="D642" s="7"/>
    </row>
    <row r="643" ht="12.75" customHeight="1">
      <c r="D643" s="7"/>
    </row>
    <row r="644" ht="12.75" customHeight="1">
      <c r="D644" s="7"/>
    </row>
    <row r="645" ht="12.75" customHeight="1">
      <c r="D645" s="7"/>
    </row>
    <row r="646" ht="12.75" customHeight="1">
      <c r="D646" s="7"/>
    </row>
    <row r="647" ht="12.75" customHeight="1">
      <c r="D647" s="7"/>
    </row>
    <row r="648" ht="12.75" customHeight="1">
      <c r="D648" s="7"/>
    </row>
    <row r="649" ht="12.75" customHeight="1">
      <c r="D649" s="7"/>
    </row>
    <row r="650" ht="12.75" customHeight="1">
      <c r="D650" s="7"/>
    </row>
    <row r="651" ht="12.75" customHeight="1">
      <c r="D651" s="7"/>
    </row>
    <row r="652" ht="12.75" customHeight="1">
      <c r="D652" s="7"/>
    </row>
    <row r="653" ht="12.75" customHeight="1">
      <c r="D653" s="7"/>
    </row>
    <row r="654" ht="12.75" customHeight="1">
      <c r="D654" s="7"/>
    </row>
    <row r="655" ht="12.75" customHeight="1">
      <c r="D655" s="7"/>
    </row>
    <row r="656" ht="12.75" customHeight="1">
      <c r="D656" s="7"/>
    </row>
    <row r="657" ht="12.75" customHeight="1">
      <c r="D657" s="7"/>
    </row>
    <row r="658" ht="12.75" customHeight="1">
      <c r="D658" s="7"/>
    </row>
    <row r="659" ht="12.75" customHeight="1">
      <c r="D659" s="7"/>
    </row>
    <row r="660" ht="12.75" customHeight="1">
      <c r="D660" s="7"/>
    </row>
    <row r="661" ht="12.75" customHeight="1">
      <c r="D661" s="7"/>
    </row>
    <row r="662" ht="12.75" customHeight="1">
      <c r="D662" s="7"/>
    </row>
    <row r="663" ht="12.75" customHeight="1">
      <c r="D663" s="7"/>
    </row>
    <row r="664" ht="12.75" customHeight="1">
      <c r="D664" s="7"/>
    </row>
    <row r="665" ht="12.75" customHeight="1">
      <c r="D665" s="7"/>
    </row>
    <row r="666" ht="12.75" customHeight="1">
      <c r="D666" s="7"/>
    </row>
    <row r="667" ht="12.75" customHeight="1">
      <c r="D667" s="7"/>
    </row>
    <row r="668" ht="12.75" customHeight="1">
      <c r="D668" s="7"/>
    </row>
    <row r="669" ht="12.75" customHeight="1">
      <c r="D669" s="7"/>
    </row>
    <row r="670" ht="12.75" customHeight="1">
      <c r="D670" s="7"/>
    </row>
    <row r="671" ht="12.75" customHeight="1">
      <c r="D671" s="7"/>
    </row>
    <row r="672" ht="12.75" customHeight="1">
      <c r="D672" s="7"/>
    </row>
    <row r="673" ht="12.75" customHeight="1">
      <c r="D673" s="7"/>
    </row>
    <row r="674" ht="12.75" customHeight="1">
      <c r="D674" s="7"/>
    </row>
    <row r="675" ht="12.75" customHeight="1">
      <c r="D675" s="7"/>
    </row>
    <row r="676" ht="12.75" customHeight="1">
      <c r="D676" s="7"/>
    </row>
    <row r="677" ht="12.75" customHeight="1">
      <c r="D677" s="7"/>
    </row>
    <row r="678" ht="12.75" customHeight="1">
      <c r="D678" s="7"/>
    </row>
    <row r="679" ht="12.75" customHeight="1">
      <c r="D679" s="7"/>
    </row>
    <row r="680" ht="12.75" customHeight="1">
      <c r="D680" s="7"/>
    </row>
    <row r="681" ht="12.75" customHeight="1">
      <c r="D681" s="7"/>
    </row>
    <row r="682" ht="12.75" customHeight="1">
      <c r="D682" s="7"/>
    </row>
    <row r="683" ht="12.75" customHeight="1">
      <c r="D683" s="7"/>
    </row>
    <row r="684" ht="12.75" customHeight="1">
      <c r="D684" s="7"/>
    </row>
    <row r="685" ht="12.75" customHeight="1">
      <c r="D685" s="7"/>
    </row>
    <row r="686" ht="12.75" customHeight="1">
      <c r="D686" s="7"/>
    </row>
    <row r="687" ht="12.75" customHeight="1">
      <c r="D687" s="7"/>
    </row>
    <row r="688" ht="12.75" customHeight="1">
      <c r="D688" s="7"/>
    </row>
    <row r="689" ht="12.75" customHeight="1">
      <c r="D689" s="7"/>
    </row>
    <row r="690" ht="12.75" customHeight="1">
      <c r="D690" s="7"/>
    </row>
    <row r="691" ht="12.75" customHeight="1">
      <c r="D691" s="7"/>
    </row>
    <row r="692" ht="12.75" customHeight="1">
      <c r="D692" s="7"/>
    </row>
    <row r="693" ht="12.75" customHeight="1">
      <c r="D693" s="7"/>
    </row>
    <row r="694" ht="12.75" customHeight="1">
      <c r="D694" s="7"/>
    </row>
    <row r="695" ht="12.75" customHeight="1">
      <c r="D695" s="7"/>
    </row>
    <row r="696" ht="12.75" customHeight="1">
      <c r="D696" s="7"/>
    </row>
    <row r="697" ht="12.75" customHeight="1">
      <c r="D697" s="7"/>
    </row>
    <row r="698" ht="12.75" customHeight="1">
      <c r="D698" s="7"/>
    </row>
    <row r="699" ht="12.75" customHeight="1">
      <c r="D699" s="7"/>
    </row>
    <row r="700" ht="12.75" customHeight="1">
      <c r="D700" s="7"/>
    </row>
    <row r="701" ht="12.75" customHeight="1">
      <c r="D701" s="7"/>
    </row>
    <row r="702" ht="12.75" customHeight="1">
      <c r="D702" s="7"/>
    </row>
    <row r="703" ht="12.75" customHeight="1">
      <c r="D703" s="7"/>
    </row>
    <row r="704" ht="12.75" customHeight="1">
      <c r="D704" s="7"/>
    </row>
    <row r="705" ht="12.75" customHeight="1">
      <c r="D705" s="7"/>
    </row>
    <row r="706" ht="12.75" customHeight="1">
      <c r="D706" s="7"/>
    </row>
    <row r="707" ht="12.75" customHeight="1">
      <c r="D707" s="7"/>
    </row>
    <row r="708" ht="12.75" customHeight="1">
      <c r="D708" s="7"/>
    </row>
    <row r="709" ht="12.75" customHeight="1">
      <c r="D709" s="7"/>
    </row>
    <row r="710" ht="12.75" customHeight="1">
      <c r="D710" s="7"/>
    </row>
    <row r="711" ht="12.75" customHeight="1">
      <c r="D711" s="7"/>
    </row>
    <row r="712" ht="12.75" customHeight="1">
      <c r="D712" s="7"/>
    </row>
    <row r="713" ht="12.75" customHeight="1">
      <c r="D713" s="7"/>
    </row>
    <row r="714" ht="12.75" customHeight="1">
      <c r="D714" s="7"/>
    </row>
    <row r="715" ht="12.75" customHeight="1">
      <c r="D715" s="7"/>
    </row>
    <row r="716" ht="12.75" customHeight="1">
      <c r="D716" s="7"/>
    </row>
    <row r="717" ht="12.75" customHeight="1">
      <c r="D717" s="7"/>
    </row>
    <row r="718" ht="12.75" customHeight="1">
      <c r="D718" s="7"/>
    </row>
    <row r="719" ht="12.75" customHeight="1">
      <c r="D719" s="7"/>
    </row>
    <row r="720" ht="12.75" customHeight="1">
      <c r="D720" s="7"/>
    </row>
    <row r="721" ht="12.75" customHeight="1">
      <c r="D721" s="7"/>
    </row>
    <row r="722" ht="12.75" customHeight="1">
      <c r="D722" s="7"/>
    </row>
    <row r="723" ht="12.75" customHeight="1">
      <c r="D723" s="7"/>
    </row>
    <row r="724" ht="12.75" customHeight="1">
      <c r="D724" s="7"/>
    </row>
    <row r="725" ht="12.75" customHeight="1">
      <c r="D725" s="7"/>
    </row>
    <row r="726" ht="12.75" customHeight="1">
      <c r="D726" s="7"/>
    </row>
    <row r="727" ht="12.75" customHeight="1">
      <c r="D727" s="7"/>
    </row>
    <row r="728" ht="12.75" customHeight="1">
      <c r="D728" s="7"/>
    </row>
    <row r="729" ht="12.75" customHeight="1">
      <c r="D729" s="7"/>
    </row>
    <row r="730" ht="12.75" customHeight="1">
      <c r="D730" s="7"/>
    </row>
    <row r="731" ht="12.75" customHeight="1">
      <c r="D731" s="7"/>
    </row>
    <row r="732" ht="12.75" customHeight="1">
      <c r="D732" s="7"/>
    </row>
    <row r="733" ht="12.75" customHeight="1">
      <c r="D733" s="7"/>
    </row>
    <row r="734" ht="12.75" customHeight="1">
      <c r="D734" s="7"/>
    </row>
    <row r="735" ht="12.75" customHeight="1">
      <c r="D735" s="7"/>
    </row>
    <row r="736" ht="12.75" customHeight="1">
      <c r="D736" s="7"/>
    </row>
    <row r="737" ht="12.75" customHeight="1">
      <c r="D737" s="7"/>
    </row>
    <row r="738" ht="12.75" customHeight="1">
      <c r="D738" s="7"/>
    </row>
    <row r="739" ht="12.75" customHeight="1">
      <c r="D739" s="7"/>
    </row>
    <row r="740" ht="12.75" customHeight="1">
      <c r="D740" s="7"/>
    </row>
    <row r="741" ht="12.75" customHeight="1">
      <c r="D741" s="7"/>
    </row>
    <row r="742" ht="12.75" customHeight="1">
      <c r="D742" s="7"/>
    </row>
    <row r="743" ht="12.75" customHeight="1">
      <c r="D743" s="7"/>
    </row>
    <row r="744" ht="12.75" customHeight="1">
      <c r="D744" s="7"/>
    </row>
    <row r="745" ht="12.75" customHeight="1">
      <c r="D745" s="7"/>
    </row>
    <row r="746" ht="12.75" customHeight="1">
      <c r="D746" s="7"/>
    </row>
    <row r="747" ht="12.75" customHeight="1">
      <c r="D747" s="7"/>
    </row>
    <row r="748" ht="12.75" customHeight="1">
      <c r="D748" s="7"/>
    </row>
    <row r="749" ht="12.75" customHeight="1">
      <c r="D749" s="7"/>
    </row>
    <row r="750" ht="12.75" customHeight="1">
      <c r="D750" s="7"/>
    </row>
    <row r="751" ht="12.75" customHeight="1">
      <c r="D751" s="7"/>
    </row>
    <row r="752" ht="12.75" customHeight="1">
      <c r="D752" s="7"/>
    </row>
    <row r="753" ht="12.75" customHeight="1">
      <c r="D753" s="7"/>
    </row>
    <row r="754" ht="12.75" customHeight="1">
      <c r="D754" s="7"/>
    </row>
    <row r="755" ht="12.75" customHeight="1">
      <c r="D755" s="7"/>
    </row>
    <row r="756" ht="12.75" customHeight="1">
      <c r="D756" s="7"/>
    </row>
    <row r="757" ht="12.75" customHeight="1">
      <c r="D757" s="7"/>
    </row>
    <row r="758" ht="12.75" customHeight="1">
      <c r="D758" s="7"/>
    </row>
    <row r="759" ht="12.75" customHeight="1">
      <c r="D759" s="7"/>
    </row>
    <row r="760" ht="12.75" customHeight="1">
      <c r="D760" s="7"/>
    </row>
    <row r="761" ht="12.75" customHeight="1">
      <c r="D761" s="7"/>
    </row>
    <row r="762" ht="12.75" customHeight="1">
      <c r="D762" s="7"/>
    </row>
    <row r="763" ht="12.75" customHeight="1">
      <c r="D763" s="7"/>
    </row>
    <row r="764" ht="12.75" customHeight="1">
      <c r="D764" s="7"/>
    </row>
    <row r="765" ht="12.75" customHeight="1">
      <c r="D765" s="7"/>
    </row>
    <row r="766" ht="12.75" customHeight="1">
      <c r="D766" s="7"/>
    </row>
    <row r="767" ht="12.75" customHeight="1">
      <c r="D767" s="7"/>
    </row>
    <row r="768" ht="12.75" customHeight="1">
      <c r="D768" s="7"/>
    </row>
    <row r="769" ht="12.75" customHeight="1">
      <c r="D769" s="7"/>
    </row>
    <row r="770" ht="12.75" customHeight="1">
      <c r="D770" s="7"/>
    </row>
    <row r="771" ht="12.75" customHeight="1">
      <c r="D771" s="7"/>
    </row>
    <row r="772" ht="12.75" customHeight="1">
      <c r="D772" s="7"/>
    </row>
    <row r="773" ht="12.75" customHeight="1">
      <c r="D773" s="7"/>
    </row>
    <row r="774" ht="12.75" customHeight="1">
      <c r="D774" s="7"/>
    </row>
    <row r="775" ht="12.75" customHeight="1">
      <c r="D775" s="7"/>
    </row>
    <row r="776" ht="12.75" customHeight="1">
      <c r="D776" s="7"/>
    </row>
    <row r="777" ht="12.75" customHeight="1">
      <c r="D777" s="7"/>
    </row>
    <row r="778" ht="12.75" customHeight="1">
      <c r="D778" s="7"/>
    </row>
    <row r="779" ht="12.75" customHeight="1">
      <c r="D779" s="7"/>
    </row>
    <row r="780" ht="12.75" customHeight="1">
      <c r="D780" s="7"/>
    </row>
    <row r="781" ht="12.75" customHeight="1">
      <c r="D781" s="7"/>
    </row>
    <row r="782" ht="12.75" customHeight="1">
      <c r="D782" s="7"/>
    </row>
    <row r="783" ht="12.75" customHeight="1">
      <c r="D783" s="7"/>
    </row>
    <row r="784" ht="12.75" customHeight="1">
      <c r="D784" s="7"/>
    </row>
    <row r="785" ht="12.75" customHeight="1">
      <c r="D785" s="7"/>
    </row>
    <row r="786" ht="12.75" customHeight="1">
      <c r="D786" s="7"/>
    </row>
    <row r="787" ht="12.75" customHeight="1">
      <c r="D787" s="7"/>
    </row>
    <row r="788" ht="12.75" customHeight="1">
      <c r="D788" s="7"/>
    </row>
    <row r="789" ht="12.75" customHeight="1">
      <c r="D789" s="7"/>
    </row>
    <row r="790" ht="12.75" customHeight="1">
      <c r="D790" s="7"/>
    </row>
    <row r="791" ht="12.75" customHeight="1">
      <c r="D791" s="7"/>
    </row>
    <row r="792" ht="12.75" customHeight="1">
      <c r="D792" s="7"/>
    </row>
    <row r="793" ht="12.75" customHeight="1">
      <c r="D793" s="7"/>
    </row>
    <row r="794" ht="12.75" customHeight="1">
      <c r="D794" s="7"/>
    </row>
    <row r="795" ht="12.75" customHeight="1">
      <c r="D795" s="7"/>
    </row>
    <row r="796" ht="12.75" customHeight="1">
      <c r="D796" s="7"/>
    </row>
    <row r="797" ht="12.75" customHeight="1">
      <c r="D797" s="7"/>
    </row>
    <row r="798" ht="12.75" customHeight="1">
      <c r="D798" s="7"/>
    </row>
    <row r="799" ht="12.75" customHeight="1">
      <c r="D799" s="7"/>
    </row>
    <row r="800" ht="12.75" customHeight="1">
      <c r="D800" s="7"/>
    </row>
    <row r="801" ht="12.75" customHeight="1">
      <c r="D801" s="7"/>
    </row>
    <row r="802" ht="12.75" customHeight="1">
      <c r="D802" s="7"/>
    </row>
    <row r="803" ht="12.75" customHeight="1">
      <c r="D803" s="7"/>
    </row>
    <row r="804" ht="12.75" customHeight="1">
      <c r="D804" s="7"/>
    </row>
    <row r="805" ht="12.75" customHeight="1">
      <c r="D805" s="7"/>
    </row>
    <row r="806" ht="12.75" customHeight="1">
      <c r="D806" s="7"/>
    </row>
    <row r="807" ht="12.75" customHeight="1">
      <c r="D807" s="7"/>
    </row>
    <row r="808" ht="12.75" customHeight="1">
      <c r="D808" s="7"/>
    </row>
    <row r="809" ht="12.75" customHeight="1">
      <c r="D809" s="7"/>
    </row>
    <row r="810" ht="12.75" customHeight="1">
      <c r="D810" s="7"/>
    </row>
    <row r="811" ht="12.75" customHeight="1">
      <c r="D811" s="7"/>
    </row>
    <row r="812" ht="12.75" customHeight="1">
      <c r="D812" s="7"/>
    </row>
    <row r="813" ht="12.75" customHeight="1">
      <c r="D813" s="7"/>
    </row>
    <row r="814" ht="12.75" customHeight="1">
      <c r="D814" s="7"/>
    </row>
    <row r="815" ht="12.75" customHeight="1">
      <c r="D815" s="7"/>
    </row>
    <row r="816" ht="12.75" customHeight="1">
      <c r="D816" s="7"/>
    </row>
    <row r="817" ht="12.75" customHeight="1">
      <c r="D817" s="7"/>
    </row>
    <row r="818" ht="12.75" customHeight="1">
      <c r="D818" s="7"/>
    </row>
    <row r="819" ht="12.75" customHeight="1">
      <c r="D819" s="7"/>
    </row>
    <row r="820" ht="12.75" customHeight="1">
      <c r="D820" s="7"/>
    </row>
    <row r="821" ht="12.75" customHeight="1">
      <c r="D821" s="7"/>
    </row>
    <row r="822" ht="12.75" customHeight="1">
      <c r="D822" s="7"/>
    </row>
    <row r="823" ht="12.75" customHeight="1">
      <c r="D823" s="7"/>
    </row>
    <row r="824" ht="12.75" customHeight="1">
      <c r="D824" s="7"/>
    </row>
    <row r="825" ht="12.75" customHeight="1">
      <c r="D825" s="7"/>
    </row>
    <row r="826" ht="12.75" customHeight="1">
      <c r="D826" s="7"/>
    </row>
    <row r="827" ht="12.75" customHeight="1">
      <c r="D827" s="7"/>
    </row>
    <row r="828" ht="12.75" customHeight="1">
      <c r="D828" s="7"/>
    </row>
    <row r="829" ht="12.75" customHeight="1">
      <c r="D829" s="7"/>
    </row>
    <row r="830" ht="12.75" customHeight="1">
      <c r="D830" s="7"/>
    </row>
    <row r="831" ht="12.75" customHeight="1">
      <c r="D831" s="7"/>
    </row>
    <row r="832" ht="12.75" customHeight="1">
      <c r="D832" s="7"/>
    </row>
    <row r="833" ht="12.75" customHeight="1">
      <c r="D833" s="7"/>
    </row>
    <row r="834" ht="12.75" customHeight="1">
      <c r="D834" s="7"/>
    </row>
    <row r="835" ht="12.75" customHeight="1">
      <c r="D835" s="7"/>
    </row>
    <row r="836" ht="12.75" customHeight="1">
      <c r="D836" s="7"/>
    </row>
    <row r="837" ht="12.75" customHeight="1">
      <c r="D837" s="7"/>
    </row>
    <row r="838" ht="12.75" customHeight="1">
      <c r="D838" s="7"/>
    </row>
    <row r="839" ht="12.75" customHeight="1">
      <c r="D839" s="7"/>
    </row>
    <row r="840" ht="12.75" customHeight="1">
      <c r="D840" s="7"/>
    </row>
    <row r="841" ht="12.75" customHeight="1">
      <c r="D841" s="7"/>
    </row>
    <row r="842" ht="12.75" customHeight="1">
      <c r="D842" s="7"/>
    </row>
    <row r="843" ht="12.75" customHeight="1">
      <c r="D843" s="7"/>
    </row>
    <row r="844" ht="12.75" customHeight="1">
      <c r="D844" s="7"/>
    </row>
    <row r="845" ht="12.75" customHeight="1">
      <c r="D845" s="7"/>
    </row>
    <row r="846" ht="12.75" customHeight="1">
      <c r="D846" s="7"/>
    </row>
    <row r="847" ht="12.75" customHeight="1">
      <c r="D847" s="7"/>
    </row>
    <row r="848" ht="12.75" customHeight="1">
      <c r="D848" s="7"/>
    </row>
    <row r="849" ht="12.75" customHeight="1">
      <c r="D849" s="7"/>
    </row>
    <row r="850" ht="12.75" customHeight="1">
      <c r="D850" s="7"/>
    </row>
    <row r="851" ht="12.75" customHeight="1">
      <c r="D851" s="7"/>
    </row>
    <row r="852" ht="12.75" customHeight="1">
      <c r="D852" s="7"/>
    </row>
    <row r="853" ht="12.75" customHeight="1">
      <c r="D853" s="7"/>
    </row>
    <row r="854" ht="12.75" customHeight="1">
      <c r="D854" s="7"/>
    </row>
    <row r="855" ht="12.75" customHeight="1">
      <c r="D855" s="7"/>
    </row>
    <row r="856" ht="12.75" customHeight="1">
      <c r="D856" s="7"/>
    </row>
    <row r="857" ht="12.75" customHeight="1">
      <c r="D857" s="7"/>
    </row>
    <row r="858" ht="12.75" customHeight="1">
      <c r="D858" s="7"/>
    </row>
    <row r="859" ht="12.75" customHeight="1">
      <c r="D859" s="7"/>
    </row>
    <row r="860" ht="12.75" customHeight="1">
      <c r="D860" s="7"/>
    </row>
    <row r="861" ht="12.75" customHeight="1">
      <c r="D861" s="7"/>
    </row>
    <row r="862" ht="12.75" customHeight="1">
      <c r="D862" s="7"/>
    </row>
    <row r="863" ht="12.75" customHeight="1">
      <c r="D863" s="7"/>
    </row>
    <row r="864" ht="12.75" customHeight="1">
      <c r="D864" s="7"/>
    </row>
    <row r="865" ht="12.75" customHeight="1">
      <c r="D865" s="7"/>
    </row>
    <row r="866" ht="12.75" customHeight="1">
      <c r="D866" s="7"/>
    </row>
    <row r="867" ht="12.75" customHeight="1">
      <c r="D867" s="7"/>
    </row>
    <row r="868" ht="12.75" customHeight="1">
      <c r="D868" s="7"/>
    </row>
    <row r="869" ht="12.75" customHeight="1">
      <c r="D869" s="7"/>
    </row>
    <row r="870" ht="12.75" customHeight="1">
      <c r="D870" s="7"/>
    </row>
    <row r="871" ht="12.75" customHeight="1">
      <c r="D871" s="7"/>
    </row>
    <row r="872" ht="12.75" customHeight="1">
      <c r="D872" s="7"/>
    </row>
    <row r="873" ht="12.75" customHeight="1">
      <c r="D873" s="7"/>
    </row>
    <row r="874" ht="12.75" customHeight="1">
      <c r="D874" s="7"/>
    </row>
    <row r="875" ht="12.75" customHeight="1">
      <c r="D875" s="7"/>
    </row>
    <row r="876" ht="12.75" customHeight="1">
      <c r="D876" s="7"/>
    </row>
    <row r="877" ht="12.75" customHeight="1">
      <c r="D877" s="7"/>
    </row>
    <row r="878" ht="12.75" customHeight="1">
      <c r="D878" s="7"/>
    </row>
    <row r="879" ht="12.75" customHeight="1">
      <c r="D879" s="7"/>
    </row>
    <row r="880" ht="12.75" customHeight="1">
      <c r="D880" s="7"/>
    </row>
    <row r="881" ht="12.75" customHeight="1">
      <c r="D881" s="7"/>
    </row>
    <row r="882" ht="12.75" customHeight="1">
      <c r="D882" s="7"/>
    </row>
    <row r="883" ht="12.75" customHeight="1">
      <c r="D883" s="7"/>
    </row>
    <row r="884" ht="12.75" customHeight="1">
      <c r="D884" s="7"/>
    </row>
    <row r="885" ht="12.75" customHeight="1">
      <c r="D885" s="7"/>
    </row>
    <row r="886" ht="12.75" customHeight="1">
      <c r="D886" s="7"/>
    </row>
    <row r="887" ht="12.75" customHeight="1">
      <c r="D887" s="7"/>
    </row>
    <row r="888" ht="12.75" customHeight="1">
      <c r="D888" s="7"/>
    </row>
    <row r="889" ht="12.75" customHeight="1">
      <c r="D889" s="7"/>
    </row>
    <row r="890" ht="12.75" customHeight="1">
      <c r="D890" s="7"/>
    </row>
    <row r="891" ht="12.75" customHeight="1">
      <c r="D891" s="7"/>
    </row>
    <row r="892" ht="12.75" customHeight="1">
      <c r="D892" s="7"/>
    </row>
    <row r="893" ht="12.75" customHeight="1">
      <c r="D893" s="7"/>
    </row>
    <row r="894" ht="12.75" customHeight="1">
      <c r="D894" s="7"/>
    </row>
    <row r="895" ht="12.75" customHeight="1">
      <c r="D895" s="7"/>
    </row>
    <row r="896" ht="12.75" customHeight="1">
      <c r="D896" s="7"/>
    </row>
    <row r="897" ht="12.75" customHeight="1">
      <c r="D897" s="7"/>
    </row>
    <row r="898" ht="12.75" customHeight="1">
      <c r="D898" s="7"/>
    </row>
    <row r="899" ht="12.75" customHeight="1">
      <c r="D899" s="7"/>
    </row>
    <row r="900" ht="12.75" customHeight="1">
      <c r="D900" s="7"/>
    </row>
    <row r="901" ht="12.75" customHeight="1">
      <c r="D901" s="7"/>
    </row>
    <row r="902" ht="12.75" customHeight="1">
      <c r="D902" s="7"/>
    </row>
    <row r="903" ht="12.75" customHeight="1">
      <c r="D903" s="7"/>
    </row>
    <row r="904" ht="12.75" customHeight="1">
      <c r="D904" s="7"/>
    </row>
    <row r="905" ht="12.75" customHeight="1">
      <c r="D905" s="7"/>
    </row>
    <row r="906" ht="12.75" customHeight="1">
      <c r="D906" s="7"/>
    </row>
    <row r="907" ht="12.75" customHeight="1">
      <c r="D907" s="7"/>
    </row>
    <row r="908" ht="12.75" customHeight="1">
      <c r="D908" s="7"/>
    </row>
    <row r="909" ht="12.75" customHeight="1">
      <c r="D909" s="7"/>
    </row>
    <row r="910" ht="12.75" customHeight="1">
      <c r="D910" s="7"/>
    </row>
    <row r="911" ht="12.75" customHeight="1">
      <c r="D911" s="7"/>
    </row>
    <row r="912" ht="12.75" customHeight="1">
      <c r="D912" s="7"/>
    </row>
    <row r="913" ht="12.75" customHeight="1">
      <c r="D913" s="7"/>
    </row>
    <row r="914" ht="12.75" customHeight="1">
      <c r="D914" s="7"/>
    </row>
    <row r="915" ht="12.75" customHeight="1">
      <c r="D915" s="7"/>
    </row>
    <row r="916" ht="12.75" customHeight="1">
      <c r="D916" s="7"/>
    </row>
    <row r="917" ht="12.75" customHeight="1">
      <c r="D917" s="7"/>
    </row>
    <row r="918" ht="12.75" customHeight="1">
      <c r="D918" s="7"/>
    </row>
    <row r="919" ht="12.75" customHeight="1">
      <c r="D919" s="7"/>
    </row>
    <row r="920" ht="12.75" customHeight="1">
      <c r="D920" s="7"/>
    </row>
    <row r="921" ht="12.75" customHeight="1">
      <c r="D921" s="7"/>
    </row>
    <row r="922" ht="12.75" customHeight="1">
      <c r="D922" s="7"/>
    </row>
    <row r="923" ht="12.75" customHeight="1">
      <c r="D923" s="7"/>
    </row>
    <row r="924" ht="12.75" customHeight="1">
      <c r="D924" s="7"/>
    </row>
    <row r="925" ht="12.75" customHeight="1">
      <c r="D925" s="7"/>
    </row>
    <row r="926" ht="12.75" customHeight="1">
      <c r="D926" s="7"/>
    </row>
    <row r="927" ht="12.75" customHeight="1">
      <c r="D927" s="7"/>
    </row>
    <row r="928" ht="12.75" customHeight="1">
      <c r="D928" s="7"/>
    </row>
    <row r="929" ht="12.75" customHeight="1">
      <c r="D929" s="7"/>
    </row>
    <row r="930" ht="12.75" customHeight="1">
      <c r="D930" s="7"/>
    </row>
    <row r="931" ht="12.75" customHeight="1">
      <c r="D931" s="7"/>
    </row>
    <row r="932" ht="12.75" customHeight="1">
      <c r="D932" s="7"/>
    </row>
    <row r="933" ht="12.75" customHeight="1">
      <c r="D933" s="7"/>
    </row>
    <row r="934" ht="12.75" customHeight="1">
      <c r="D934" s="7"/>
    </row>
    <row r="935" ht="12.75" customHeight="1">
      <c r="D935" s="7"/>
    </row>
    <row r="936" ht="12.75" customHeight="1">
      <c r="D936" s="7"/>
    </row>
    <row r="937" ht="12.75" customHeight="1">
      <c r="D937" s="7"/>
    </row>
    <row r="938" ht="12.75" customHeight="1">
      <c r="D938" s="7"/>
    </row>
    <row r="939" ht="12.75" customHeight="1">
      <c r="D939" s="7"/>
    </row>
    <row r="940" ht="12.75" customHeight="1">
      <c r="D940" s="7"/>
    </row>
    <row r="941" ht="12.75" customHeight="1">
      <c r="D941" s="7"/>
    </row>
    <row r="942" ht="12.75" customHeight="1">
      <c r="D942" s="7"/>
    </row>
    <row r="943" ht="12.75" customHeight="1">
      <c r="D943" s="7"/>
    </row>
    <row r="944" ht="12.75" customHeight="1">
      <c r="D944" s="7"/>
    </row>
    <row r="945" ht="12.75" customHeight="1">
      <c r="D945" s="7"/>
    </row>
    <row r="946" ht="12.75" customHeight="1">
      <c r="D946" s="7"/>
    </row>
    <row r="947" ht="12.75" customHeight="1">
      <c r="D947" s="7"/>
    </row>
    <row r="948" ht="12.75" customHeight="1">
      <c r="D948" s="7"/>
    </row>
    <row r="949" ht="12.75" customHeight="1">
      <c r="D949" s="7"/>
    </row>
    <row r="950" ht="12.75" customHeight="1">
      <c r="D950" s="7"/>
    </row>
    <row r="951" ht="12.75" customHeight="1">
      <c r="D951" s="7"/>
    </row>
    <row r="952" ht="12.75" customHeight="1">
      <c r="D952" s="7"/>
    </row>
    <row r="953" ht="12.75" customHeight="1">
      <c r="D953" s="7"/>
    </row>
    <row r="954" ht="12.75" customHeight="1">
      <c r="D954" s="7"/>
    </row>
    <row r="955" ht="12.75" customHeight="1">
      <c r="D955" s="7"/>
    </row>
    <row r="956" ht="12.75" customHeight="1">
      <c r="D956" s="7"/>
    </row>
    <row r="957" ht="12.75" customHeight="1">
      <c r="D957" s="7"/>
    </row>
    <row r="958" ht="12.75" customHeight="1">
      <c r="D958" s="7"/>
    </row>
    <row r="959" ht="12.75" customHeight="1">
      <c r="D959" s="7"/>
    </row>
    <row r="960" ht="12.75" customHeight="1">
      <c r="D960" s="7"/>
    </row>
    <row r="961" ht="12.75" customHeight="1">
      <c r="D961" s="7"/>
    </row>
    <row r="962" ht="12.75" customHeight="1">
      <c r="D962" s="7"/>
    </row>
    <row r="963" ht="12.75" customHeight="1">
      <c r="D963" s="7"/>
    </row>
    <row r="964" ht="12.75" customHeight="1">
      <c r="D964" s="7"/>
    </row>
    <row r="965" ht="12.75" customHeight="1">
      <c r="D965" s="7"/>
    </row>
    <row r="966" ht="12.75" customHeight="1">
      <c r="D966" s="7"/>
    </row>
    <row r="967" ht="12.75" customHeight="1">
      <c r="D967" s="7"/>
    </row>
    <row r="968" ht="12.75" customHeight="1">
      <c r="D968" s="7"/>
    </row>
    <row r="969" ht="12.75" customHeight="1">
      <c r="D969" s="7"/>
    </row>
    <row r="970" ht="12.75" customHeight="1">
      <c r="D970" s="7"/>
    </row>
    <row r="971" ht="12.75" customHeight="1">
      <c r="D971" s="7"/>
    </row>
    <row r="972" ht="12.75" customHeight="1">
      <c r="D972" s="7"/>
    </row>
    <row r="973" ht="12.75" customHeight="1">
      <c r="D973" s="7"/>
    </row>
    <row r="974" ht="12.75" customHeight="1">
      <c r="D974" s="7"/>
    </row>
    <row r="975" ht="12.75" customHeight="1">
      <c r="D975" s="7"/>
    </row>
    <row r="976" ht="12.75" customHeight="1">
      <c r="D976" s="7"/>
    </row>
    <row r="977" ht="12.75" customHeight="1">
      <c r="D977" s="7"/>
    </row>
    <row r="978" ht="12.75" customHeight="1">
      <c r="D978" s="7"/>
    </row>
    <row r="979" ht="12.75" customHeight="1">
      <c r="D979" s="7"/>
    </row>
    <row r="980" ht="12.75" customHeight="1">
      <c r="D980" s="7"/>
    </row>
    <row r="981" ht="12.75" customHeight="1">
      <c r="D981" s="7"/>
    </row>
    <row r="982" ht="12.75" customHeight="1">
      <c r="D982" s="7"/>
    </row>
    <row r="983" ht="12.75" customHeight="1">
      <c r="D983" s="7"/>
    </row>
    <row r="984" ht="12.75" customHeight="1">
      <c r="D984" s="7"/>
    </row>
    <row r="985" ht="12.75" customHeight="1">
      <c r="D985" s="7"/>
    </row>
    <row r="986" ht="12.75" customHeight="1">
      <c r="D986" s="7"/>
    </row>
    <row r="987" ht="12.75" customHeight="1">
      <c r="D987" s="7"/>
    </row>
    <row r="988" ht="12.75" customHeight="1">
      <c r="D988" s="7"/>
    </row>
    <row r="989" ht="12.75" customHeight="1">
      <c r="D989" s="7"/>
    </row>
    <row r="990" ht="12.75" customHeight="1">
      <c r="D990" s="7"/>
    </row>
    <row r="991" ht="12.75" customHeight="1">
      <c r="D991" s="7"/>
    </row>
    <row r="992" ht="12.75" customHeight="1">
      <c r="D992" s="7"/>
    </row>
    <row r="993" ht="12.75" customHeight="1">
      <c r="D993" s="7"/>
    </row>
    <row r="994" ht="12.75" customHeight="1">
      <c r="D994" s="7"/>
    </row>
    <row r="995" ht="12.75" customHeight="1">
      <c r="D995" s="7"/>
    </row>
    <row r="996" ht="12.75" customHeight="1">
      <c r="D996" s="7"/>
    </row>
    <row r="997" ht="12.75" customHeight="1">
      <c r="D997" s="7"/>
    </row>
    <row r="998" ht="12.75" customHeight="1">
      <c r="D998" s="7"/>
    </row>
    <row r="999" ht="12.75" customHeight="1">
      <c r="D999" s="7"/>
    </row>
    <row r="1000" ht="12.75" customHeight="1">
      <c r="D1000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2006-07-12T16:42:30Z</dcterms:created>
  <dc:creator>ARicard</dc:creator>
</cp:coreProperties>
</file>