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"/>
    </mc:Choice>
  </mc:AlternateContent>
  <xr:revisionPtr revIDLastSave="0" documentId="13_ncr:1_{68303017-ED5E-4B18-953B-00F775F984B7}" xr6:coauthVersionLast="47" xr6:coauthVersionMax="47" xr10:uidLastSave="{00000000-0000-0000-0000-000000000000}"/>
  <bookViews>
    <workbookView xWindow="5670" yWindow="-20895" windowWidth="31950" windowHeight="19470" activeTab="1" xr2:uid="{C516DE6D-895E-4612-9995-7EE087D52763}"/>
  </bookViews>
  <sheets>
    <sheet name="Axial" sheetId="1" r:id="rId1"/>
    <sheet name="Rad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10" i="2"/>
  <c r="D10" i="2"/>
  <c r="D6" i="2"/>
  <c r="D7" i="2"/>
  <c r="D5" i="2"/>
  <c r="L15" i="1"/>
  <c r="L14" i="1"/>
  <c r="L13" i="1"/>
  <c r="K14" i="1"/>
  <c r="K15" i="1"/>
  <c r="K13" i="1"/>
  <c r="K8" i="1"/>
  <c r="K7" i="1"/>
  <c r="K6" i="1"/>
  <c r="C3" i="1"/>
  <c r="D3" i="1"/>
  <c r="E3" i="1"/>
  <c r="F3" i="1"/>
  <c r="G3" i="1"/>
  <c r="I3" i="1"/>
  <c r="C4" i="1"/>
  <c r="D4" i="1"/>
  <c r="E4" i="1"/>
  <c r="F4" i="1"/>
  <c r="G4" i="1"/>
  <c r="I4" i="1"/>
  <c r="C5" i="1"/>
  <c r="D5" i="1"/>
  <c r="E5" i="1"/>
  <c r="F5" i="1"/>
  <c r="G5" i="1"/>
  <c r="I5" i="1"/>
  <c r="C6" i="1"/>
  <c r="D6" i="1"/>
  <c r="E6" i="1"/>
  <c r="F6" i="1"/>
  <c r="G6" i="1"/>
  <c r="I6" i="1"/>
  <c r="C7" i="1"/>
  <c r="D7" i="1"/>
  <c r="E7" i="1"/>
  <c r="F7" i="1"/>
  <c r="G7" i="1"/>
  <c r="I7" i="1"/>
  <c r="C8" i="1"/>
  <c r="D8" i="1"/>
  <c r="E8" i="1"/>
  <c r="F8" i="1"/>
  <c r="G8" i="1"/>
  <c r="I8" i="1"/>
  <c r="C9" i="1"/>
  <c r="D9" i="1"/>
  <c r="E9" i="1"/>
  <c r="F9" i="1"/>
  <c r="G9" i="1"/>
  <c r="I9" i="1"/>
  <c r="C10" i="1"/>
  <c r="D10" i="1"/>
  <c r="E10" i="1"/>
  <c r="F10" i="1"/>
  <c r="G10" i="1"/>
  <c r="I10" i="1"/>
  <c r="C11" i="1"/>
  <c r="D11" i="1"/>
  <c r="E11" i="1"/>
  <c r="F11" i="1"/>
  <c r="G11" i="1"/>
  <c r="I11" i="1"/>
  <c r="C12" i="1"/>
  <c r="D12" i="1"/>
  <c r="E12" i="1"/>
  <c r="F12" i="1"/>
  <c r="G12" i="1"/>
  <c r="I12" i="1"/>
  <c r="C13" i="1"/>
  <c r="D13" i="1"/>
  <c r="E13" i="1"/>
  <c r="F13" i="1"/>
  <c r="G13" i="1"/>
  <c r="I13" i="1"/>
  <c r="C14" i="1"/>
  <c r="D14" i="1"/>
  <c r="E14" i="1"/>
  <c r="F14" i="1"/>
  <c r="G14" i="1"/>
  <c r="I14" i="1"/>
  <c r="C15" i="1"/>
  <c r="D15" i="1"/>
  <c r="E15" i="1"/>
  <c r="F15" i="1"/>
  <c r="G15" i="1"/>
  <c r="I15" i="1"/>
  <c r="C16" i="1"/>
  <c r="D16" i="1"/>
  <c r="E16" i="1"/>
  <c r="F16" i="1"/>
  <c r="G16" i="1"/>
  <c r="I16" i="1"/>
  <c r="C17" i="1"/>
  <c r="D17" i="1"/>
  <c r="E17" i="1"/>
  <c r="F17" i="1"/>
  <c r="G17" i="1"/>
  <c r="I17" i="1"/>
  <c r="C18" i="1"/>
  <c r="D18" i="1"/>
  <c r="E18" i="1"/>
  <c r="F18" i="1"/>
  <c r="G18" i="1"/>
  <c r="I18" i="1"/>
  <c r="C19" i="1"/>
  <c r="D19" i="1"/>
  <c r="E19" i="1"/>
  <c r="F19" i="1"/>
  <c r="G19" i="1"/>
  <c r="I19" i="1"/>
  <c r="C20" i="1"/>
  <c r="D20" i="1"/>
  <c r="E20" i="1"/>
  <c r="F20" i="1"/>
  <c r="G20" i="1"/>
  <c r="I20" i="1"/>
  <c r="C21" i="1"/>
  <c r="G21" i="1" s="1"/>
  <c r="I21" i="1" s="1"/>
  <c r="D21" i="1"/>
  <c r="E21" i="1"/>
  <c r="F21" i="1"/>
  <c r="C22" i="1"/>
  <c r="D22" i="1"/>
  <c r="E22" i="1"/>
  <c r="F22" i="1"/>
  <c r="G22" i="1"/>
  <c r="I22" i="1"/>
  <c r="C23" i="1"/>
  <c r="D23" i="1"/>
  <c r="E23" i="1"/>
  <c r="F23" i="1"/>
  <c r="G23" i="1"/>
  <c r="I23" i="1"/>
  <c r="C24" i="1"/>
  <c r="D24" i="1"/>
  <c r="E24" i="1"/>
  <c r="F24" i="1"/>
  <c r="G24" i="1"/>
  <c r="I24" i="1"/>
  <c r="C25" i="1"/>
  <c r="D25" i="1"/>
  <c r="E25" i="1"/>
  <c r="F25" i="1"/>
  <c r="G25" i="1"/>
  <c r="I25" i="1"/>
  <c r="C26" i="1"/>
  <c r="D26" i="1"/>
  <c r="E26" i="1"/>
  <c r="F26" i="1"/>
  <c r="G26" i="1"/>
  <c r="I26" i="1"/>
  <c r="C27" i="1"/>
  <c r="D27" i="1"/>
  <c r="E27" i="1"/>
  <c r="F27" i="1"/>
  <c r="G27" i="1"/>
  <c r="I27" i="1"/>
  <c r="C28" i="1"/>
  <c r="D28" i="1"/>
  <c r="E28" i="1"/>
  <c r="F28" i="1"/>
  <c r="G28" i="1"/>
  <c r="I28" i="1"/>
  <c r="C29" i="1"/>
  <c r="D29" i="1"/>
  <c r="E29" i="1"/>
  <c r="F29" i="1"/>
  <c r="G29" i="1"/>
  <c r="I29" i="1"/>
  <c r="C30" i="1"/>
  <c r="D30" i="1"/>
  <c r="E30" i="1"/>
  <c r="F30" i="1"/>
  <c r="G30" i="1"/>
  <c r="I30" i="1"/>
  <c r="C31" i="1"/>
  <c r="D31" i="1"/>
  <c r="E31" i="1"/>
  <c r="F31" i="1"/>
  <c r="G31" i="1"/>
  <c r="I31" i="1"/>
  <c r="C32" i="1"/>
  <c r="D32" i="1"/>
  <c r="E32" i="1"/>
  <c r="F32" i="1"/>
  <c r="G32" i="1"/>
  <c r="I32" i="1"/>
  <c r="C33" i="1"/>
  <c r="D33" i="1"/>
  <c r="E33" i="1"/>
  <c r="F33" i="1"/>
  <c r="G33" i="1"/>
  <c r="I33" i="1"/>
  <c r="C34" i="1"/>
  <c r="D34" i="1"/>
  <c r="E34" i="1"/>
  <c r="F34" i="1"/>
  <c r="G34" i="1"/>
  <c r="I34" i="1"/>
  <c r="C35" i="1"/>
  <c r="D35" i="1"/>
  <c r="E35" i="1"/>
  <c r="F35" i="1"/>
  <c r="G35" i="1"/>
  <c r="I35" i="1"/>
  <c r="C36" i="1"/>
  <c r="D36" i="1"/>
  <c r="E36" i="1"/>
  <c r="F36" i="1"/>
  <c r="G36" i="1"/>
  <c r="I36" i="1"/>
  <c r="C37" i="1"/>
  <c r="D37" i="1"/>
  <c r="E37" i="1"/>
  <c r="F37" i="1"/>
  <c r="G37" i="1"/>
  <c r="I37" i="1"/>
  <c r="C38" i="1"/>
  <c r="D38" i="1"/>
  <c r="E38" i="1"/>
  <c r="F38" i="1"/>
  <c r="G38" i="1"/>
  <c r="I38" i="1"/>
  <c r="C39" i="1"/>
  <c r="G39" i="1" s="1"/>
  <c r="I39" i="1" s="1"/>
  <c r="D39" i="1"/>
  <c r="E39" i="1"/>
  <c r="F39" i="1"/>
  <c r="C40" i="1"/>
  <c r="D40" i="1"/>
  <c r="E40" i="1"/>
  <c r="F40" i="1"/>
  <c r="G40" i="1" s="1"/>
  <c r="I40" i="1" s="1"/>
  <c r="C41" i="1"/>
  <c r="G41" i="1" s="1"/>
  <c r="I41" i="1" s="1"/>
  <c r="D41" i="1"/>
  <c r="E41" i="1"/>
  <c r="F41" i="1"/>
  <c r="C42" i="1"/>
  <c r="D42" i="1"/>
  <c r="E42" i="1"/>
  <c r="F42" i="1"/>
  <c r="G42" i="1"/>
  <c r="I42" i="1" s="1"/>
  <c r="C43" i="1"/>
  <c r="D43" i="1"/>
  <c r="E43" i="1"/>
  <c r="F43" i="1"/>
  <c r="G43" i="1"/>
  <c r="I43" i="1" s="1"/>
  <c r="C44" i="1"/>
  <c r="D44" i="1"/>
  <c r="E44" i="1"/>
  <c r="F44" i="1"/>
  <c r="G44" i="1"/>
  <c r="I44" i="1" s="1"/>
  <c r="C45" i="1"/>
  <c r="D45" i="1"/>
  <c r="E45" i="1"/>
  <c r="F45" i="1"/>
  <c r="G45" i="1"/>
  <c r="I45" i="1" s="1"/>
  <c r="C46" i="1"/>
  <c r="D46" i="1"/>
  <c r="E46" i="1"/>
  <c r="F46" i="1"/>
  <c r="G46" i="1"/>
  <c r="I46" i="1" s="1"/>
  <c r="C47" i="1"/>
  <c r="D47" i="1"/>
  <c r="E47" i="1"/>
  <c r="F47" i="1"/>
  <c r="G47" i="1"/>
  <c r="I47" i="1" s="1"/>
  <c r="C48" i="1"/>
  <c r="D48" i="1"/>
  <c r="E48" i="1"/>
  <c r="F48" i="1"/>
  <c r="G48" i="1"/>
  <c r="I48" i="1" s="1"/>
  <c r="C49" i="1"/>
  <c r="D49" i="1"/>
  <c r="E49" i="1"/>
  <c r="F49" i="1"/>
  <c r="G49" i="1"/>
  <c r="I49" i="1" s="1"/>
  <c r="C50" i="1"/>
  <c r="D50" i="1"/>
  <c r="E50" i="1"/>
  <c r="F50" i="1"/>
  <c r="G50" i="1"/>
  <c r="I50" i="1" s="1"/>
  <c r="C51" i="1"/>
  <c r="D51" i="1"/>
  <c r="E51" i="1"/>
  <c r="F51" i="1"/>
  <c r="G51" i="1"/>
  <c r="I51" i="1" s="1"/>
  <c r="C52" i="1"/>
  <c r="D52" i="1"/>
  <c r="E52" i="1"/>
  <c r="F52" i="1"/>
  <c r="G52" i="1"/>
  <c r="I52" i="1" s="1"/>
  <c r="C53" i="1"/>
  <c r="D53" i="1"/>
  <c r="E53" i="1"/>
  <c r="F53" i="1"/>
  <c r="G53" i="1"/>
  <c r="I53" i="1" s="1"/>
  <c r="C54" i="1"/>
  <c r="D54" i="1"/>
  <c r="E54" i="1"/>
  <c r="F54" i="1"/>
  <c r="G54" i="1"/>
  <c r="I54" i="1" s="1"/>
  <c r="C55" i="1"/>
  <c r="D55" i="1"/>
  <c r="E55" i="1"/>
  <c r="F55" i="1"/>
  <c r="G55" i="1"/>
  <c r="I55" i="1" s="1"/>
  <c r="C56" i="1"/>
  <c r="D56" i="1"/>
  <c r="E56" i="1"/>
  <c r="F56" i="1"/>
  <c r="G56" i="1"/>
  <c r="I56" i="1" s="1"/>
  <c r="C57" i="1"/>
  <c r="D57" i="1"/>
  <c r="E57" i="1"/>
  <c r="F57" i="1"/>
  <c r="G57" i="1"/>
  <c r="I57" i="1" s="1"/>
  <c r="C58" i="1"/>
  <c r="D58" i="1"/>
  <c r="E58" i="1"/>
  <c r="F58" i="1"/>
  <c r="G58" i="1"/>
  <c r="I58" i="1"/>
  <c r="C59" i="1"/>
  <c r="D59" i="1"/>
  <c r="E59" i="1"/>
  <c r="F59" i="1"/>
  <c r="G59" i="1"/>
  <c r="I59" i="1"/>
  <c r="C60" i="1"/>
  <c r="D60" i="1"/>
  <c r="E60" i="1"/>
  <c r="F60" i="1"/>
  <c r="G60" i="1"/>
  <c r="I60" i="1"/>
  <c r="C61" i="1"/>
  <c r="D61" i="1"/>
  <c r="E61" i="1"/>
  <c r="F61" i="1"/>
  <c r="G61" i="1"/>
  <c r="I61" i="1"/>
  <c r="C62" i="1"/>
  <c r="D62" i="1"/>
  <c r="E62" i="1"/>
  <c r="F62" i="1"/>
  <c r="G62" i="1"/>
  <c r="I62" i="1"/>
  <c r="C63" i="1"/>
  <c r="D63" i="1"/>
  <c r="E63" i="1"/>
  <c r="F63" i="1"/>
  <c r="G63" i="1"/>
  <c r="I63" i="1"/>
  <c r="C64" i="1"/>
  <c r="D64" i="1"/>
  <c r="E64" i="1"/>
  <c r="F64" i="1"/>
  <c r="G64" i="1"/>
  <c r="I64" i="1"/>
  <c r="C65" i="1"/>
  <c r="D65" i="1"/>
  <c r="E65" i="1"/>
  <c r="F65" i="1"/>
  <c r="G65" i="1"/>
  <c r="I65" i="1"/>
  <c r="C66" i="1"/>
  <c r="D66" i="1"/>
  <c r="E66" i="1"/>
  <c r="F66" i="1"/>
  <c r="G66" i="1"/>
  <c r="I66" i="1"/>
  <c r="C67" i="1"/>
  <c r="D67" i="1"/>
  <c r="E67" i="1"/>
  <c r="F67" i="1"/>
  <c r="G67" i="1"/>
  <c r="I67" i="1"/>
  <c r="C68" i="1"/>
  <c r="D68" i="1"/>
  <c r="E68" i="1"/>
  <c r="F68" i="1"/>
  <c r="G68" i="1"/>
  <c r="I68" i="1"/>
  <c r="C69" i="1"/>
  <c r="D69" i="1"/>
  <c r="E69" i="1"/>
  <c r="F69" i="1"/>
  <c r="G69" i="1"/>
  <c r="I69" i="1"/>
  <c r="C70" i="1"/>
  <c r="D70" i="1"/>
  <c r="E70" i="1"/>
  <c r="F70" i="1"/>
  <c r="G70" i="1"/>
  <c r="I70" i="1"/>
  <c r="C71" i="1"/>
  <c r="D71" i="1"/>
  <c r="E71" i="1"/>
  <c r="F71" i="1"/>
  <c r="G71" i="1"/>
  <c r="I71" i="1"/>
  <c r="C72" i="1"/>
  <c r="D72" i="1"/>
  <c r="E72" i="1"/>
  <c r="F72" i="1"/>
  <c r="G72" i="1"/>
  <c r="I72" i="1"/>
  <c r="C73" i="1"/>
  <c r="D73" i="1"/>
  <c r="E73" i="1"/>
  <c r="F73" i="1"/>
  <c r="G73" i="1"/>
  <c r="I73" i="1"/>
  <c r="C74" i="1"/>
  <c r="D74" i="1"/>
  <c r="E74" i="1"/>
  <c r="F74" i="1"/>
  <c r="G74" i="1"/>
  <c r="I74" i="1"/>
  <c r="C75" i="1"/>
  <c r="D75" i="1"/>
  <c r="E75" i="1"/>
  <c r="F75" i="1"/>
  <c r="G75" i="1"/>
  <c r="I75" i="1"/>
  <c r="C76" i="1"/>
  <c r="G76" i="1" s="1"/>
  <c r="I76" i="1" s="1"/>
  <c r="D76" i="1"/>
  <c r="E76" i="1"/>
  <c r="F76" i="1"/>
  <c r="C77" i="1"/>
  <c r="D77" i="1"/>
  <c r="E77" i="1"/>
  <c r="F77" i="1"/>
  <c r="G77" i="1"/>
  <c r="I77" i="1"/>
  <c r="C78" i="1"/>
  <c r="D78" i="1"/>
  <c r="E78" i="1"/>
  <c r="F78" i="1"/>
  <c r="G78" i="1"/>
  <c r="I78" i="1"/>
  <c r="C79" i="1"/>
  <c r="D79" i="1"/>
  <c r="E79" i="1"/>
  <c r="F79" i="1"/>
  <c r="G79" i="1"/>
  <c r="I79" i="1"/>
  <c r="C80" i="1"/>
  <c r="D80" i="1"/>
  <c r="E80" i="1"/>
  <c r="F80" i="1"/>
  <c r="G80" i="1"/>
  <c r="I80" i="1"/>
  <c r="C81" i="1"/>
  <c r="D81" i="1"/>
  <c r="E81" i="1"/>
  <c r="F81" i="1"/>
  <c r="G81" i="1"/>
  <c r="I81" i="1"/>
  <c r="C82" i="1"/>
  <c r="D82" i="1"/>
  <c r="E82" i="1"/>
  <c r="F82" i="1"/>
  <c r="G82" i="1"/>
  <c r="I82" i="1"/>
  <c r="C83" i="1"/>
  <c r="D83" i="1"/>
  <c r="E83" i="1"/>
  <c r="F83" i="1"/>
  <c r="G83" i="1"/>
  <c r="I83" i="1" s="1"/>
  <c r="C84" i="1"/>
  <c r="D84" i="1"/>
  <c r="E84" i="1"/>
  <c r="F84" i="1"/>
  <c r="G84" i="1"/>
  <c r="I84" i="1"/>
  <c r="C85" i="1"/>
  <c r="D85" i="1"/>
  <c r="E85" i="1"/>
  <c r="F85" i="1"/>
  <c r="G85" i="1"/>
  <c r="I85" i="1" s="1"/>
  <c r="C86" i="1"/>
  <c r="D86" i="1"/>
  <c r="E86" i="1"/>
  <c r="F86" i="1"/>
  <c r="G86" i="1"/>
  <c r="I86" i="1" s="1"/>
  <c r="C87" i="1"/>
  <c r="D87" i="1"/>
  <c r="E87" i="1"/>
  <c r="F87" i="1"/>
  <c r="G87" i="1"/>
  <c r="I87" i="1" s="1"/>
  <c r="C88" i="1"/>
  <c r="D88" i="1"/>
  <c r="E88" i="1"/>
  <c r="F88" i="1"/>
  <c r="G88" i="1"/>
  <c r="I88" i="1" s="1"/>
  <c r="C89" i="1"/>
  <c r="D89" i="1"/>
  <c r="E89" i="1"/>
  <c r="F89" i="1"/>
  <c r="G89" i="1"/>
  <c r="I89" i="1" s="1"/>
  <c r="C90" i="1"/>
  <c r="D90" i="1"/>
  <c r="E90" i="1"/>
  <c r="F90" i="1"/>
  <c r="G90" i="1"/>
  <c r="I90" i="1"/>
  <c r="C91" i="1"/>
  <c r="D91" i="1"/>
  <c r="E91" i="1"/>
  <c r="F91" i="1"/>
  <c r="G91" i="1"/>
  <c r="I91" i="1"/>
  <c r="C92" i="1"/>
  <c r="D92" i="1"/>
  <c r="E92" i="1"/>
  <c r="F92" i="1"/>
  <c r="G92" i="1"/>
  <c r="I92" i="1" s="1"/>
  <c r="C93" i="1"/>
  <c r="D93" i="1"/>
  <c r="E93" i="1"/>
  <c r="F93" i="1"/>
  <c r="G93" i="1"/>
  <c r="I93" i="1" s="1"/>
  <c r="C94" i="1"/>
  <c r="D94" i="1"/>
  <c r="E94" i="1"/>
  <c r="F94" i="1"/>
  <c r="G94" i="1"/>
  <c r="I94" i="1" s="1"/>
  <c r="C95" i="1"/>
  <c r="D95" i="1"/>
  <c r="E95" i="1"/>
  <c r="F95" i="1"/>
  <c r="G95" i="1"/>
  <c r="I95" i="1"/>
  <c r="C96" i="1"/>
  <c r="D96" i="1"/>
  <c r="E96" i="1"/>
  <c r="F96" i="1"/>
  <c r="G96" i="1"/>
  <c r="I96" i="1"/>
  <c r="C97" i="1"/>
  <c r="D97" i="1"/>
  <c r="E97" i="1"/>
  <c r="F97" i="1"/>
  <c r="G97" i="1"/>
  <c r="I97" i="1"/>
  <c r="C98" i="1"/>
  <c r="D98" i="1"/>
  <c r="E98" i="1"/>
  <c r="F98" i="1"/>
  <c r="G98" i="1"/>
  <c r="I98" i="1"/>
  <c r="C99" i="1"/>
  <c r="D99" i="1"/>
  <c r="E99" i="1"/>
  <c r="F99" i="1"/>
  <c r="G99" i="1"/>
  <c r="I99" i="1"/>
  <c r="C100" i="1"/>
  <c r="D100" i="1"/>
  <c r="E100" i="1"/>
  <c r="F100" i="1"/>
  <c r="G100" i="1"/>
  <c r="I100" i="1"/>
  <c r="C101" i="1"/>
  <c r="D101" i="1"/>
  <c r="E101" i="1"/>
  <c r="F101" i="1"/>
  <c r="G101" i="1"/>
  <c r="I101" i="1"/>
  <c r="C102" i="1"/>
  <c r="D102" i="1"/>
  <c r="E102" i="1"/>
  <c r="F102" i="1"/>
  <c r="G102" i="1"/>
  <c r="I102" i="1"/>
  <c r="C103" i="1"/>
  <c r="D103" i="1"/>
  <c r="E103" i="1"/>
  <c r="F103" i="1"/>
  <c r="G103" i="1"/>
  <c r="I103" i="1"/>
  <c r="C104" i="1"/>
  <c r="D104" i="1"/>
  <c r="E104" i="1"/>
  <c r="F104" i="1"/>
  <c r="G104" i="1"/>
  <c r="I104" i="1"/>
  <c r="C105" i="1"/>
  <c r="D105" i="1"/>
  <c r="E105" i="1"/>
  <c r="F105" i="1"/>
  <c r="G105" i="1"/>
  <c r="I105" i="1"/>
  <c r="C106" i="1"/>
  <c r="D106" i="1"/>
  <c r="E106" i="1"/>
  <c r="F106" i="1"/>
  <c r="G106" i="1"/>
  <c r="I106" i="1"/>
  <c r="C107" i="1"/>
  <c r="D107" i="1"/>
  <c r="E107" i="1"/>
  <c r="F107" i="1"/>
  <c r="G107" i="1"/>
  <c r="I107" i="1"/>
  <c r="C108" i="1"/>
  <c r="D108" i="1"/>
  <c r="E108" i="1"/>
  <c r="F108" i="1"/>
  <c r="G108" i="1"/>
  <c r="I108" i="1"/>
  <c r="C109" i="1"/>
  <c r="D109" i="1"/>
  <c r="E109" i="1"/>
  <c r="F109" i="1"/>
  <c r="G109" i="1"/>
  <c r="I109" i="1"/>
  <c r="C110" i="1"/>
  <c r="D110" i="1"/>
  <c r="E110" i="1"/>
  <c r="F110" i="1"/>
  <c r="G110" i="1"/>
  <c r="I110" i="1"/>
  <c r="C111" i="1"/>
  <c r="D111" i="1"/>
  <c r="E111" i="1"/>
  <c r="F111" i="1"/>
  <c r="G111" i="1"/>
  <c r="I111" i="1"/>
  <c r="C112" i="1"/>
  <c r="D112" i="1"/>
  <c r="E112" i="1"/>
  <c r="F112" i="1"/>
  <c r="G112" i="1"/>
  <c r="I112" i="1"/>
  <c r="C113" i="1"/>
  <c r="G113" i="1" s="1"/>
  <c r="I113" i="1" s="1"/>
  <c r="D113" i="1"/>
  <c r="E113" i="1"/>
  <c r="F113" i="1"/>
  <c r="C114" i="1"/>
  <c r="D114" i="1"/>
  <c r="E114" i="1"/>
  <c r="F114" i="1"/>
  <c r="G114" i="1"/>
  <c r="I114" i="1"/>
  <c r="C115" i="1"/>
  <c r="D115" i="1"/>
  <c r="E115" i="1"/>
  <c r="F115" i="1"/>
  <c r="G115" i="1"/>
  <c r="I115" i="1"/>
  <c r="C116" i="1"/>
  <c r="D116" i="1"/>
  <c r="E116" i="1"/>
  <c r="F116" i="1"/>
  <c r="G116" i="1"/>
  <c r="I116" i="1"/>
  <c r="C117" i="1"/>
  <c r="D117" i="1"/>
  <c r="E117" i="1"/>
  <c r="F117" i="1"/>
  <c r="G117" i="1"/>
  <c r="I117" i="1"/>
  <c r="C118" i="1"/>
  <c r="D118" i="1"/>
  <c r="E118" i="1"/>
  <c r="F118" i="1"/>
  <c r="G118" i="1"/>
  <c r="I118" i="1"/>
  <c r="C119" i="1"/>
  <c r="D119" i="1"/>
  <c r="E119" i="1"/>
  <c r="F119" i="1"/>
  <c r="G119" i="1"/>
  <c r="I119" i="1"/>
  <c r="C120" i="1"/>
  <c r="D120" i="1"/>
  <c r="E120" i="1"/>
  <c r="F120" i="1"/>
  <c r="G120" i="1"/>
  <c r="I120" i="1"/>
  <c r="C121" i="1"/>
  <c r="D121" i="1"/>
  <c r="E121" i="1"/>
  <c r="F121" i="1"/>
  <c r="G121" i="1"/>
  <c r="I121" i="1"/>
  <c r="C122" i="1"/>
  <c r="D122" i="1"/>
  <c r="E122" i="1"/>
  <c r="F122" i="1"/>
  <c r="G122" i="1"/>
  <c r="I122" i="1"/>
  <c r="C123" i="1"/>
  <c r="D123" i="1"/>
  <c r="E123" i="1"/>
  <c r="F123" i="1"/>
  <c r="G123" i="1"/>
  <c r="I123" i="1"/>
  <c r="C124" i="1"/>
  <c r="D124" i="1"/>
  <c r="E124" i="1"/>
  <c r="F124" i="1"/>
  <c r="G124" i="1"/>
  <c r="I124" i="1"/>
  <c r="C125" i="1"/>
  <c r="D125" i="1"/>
  <c r="E125" i="1"/>
  <c r="F125" i="1"/>
  <c r="G125" i="1"/>
  <c r="I125" i="1"/>
  <c r="C126" i="1"/>
  <c r="D126" i="1"/>
  <c r="E126" i="1"/>
  <c r="F126" i="1"/>
  <c r="G126" i="1"/>
  <c r="I126" i="1"/>
  <c r="C127" i="1"/>
  <c r="D127" i="1"/>
  <c r="E127" i="1"/>
  <c r="F127" i="1"/>
  <c r="G127" i="1"/>
  <c r="I127" i="1"/>
  <c r="C128" i="1"/>
  <c r="D128" i="1"/>
  <c r="E128" i="1"/>
  <c r="F128" i="1"/>
  <c r="G128" i="1"/>
  <c r="I128" i="1"/>
  <c r="C129" i="1"/>
  <c r="D129" i="1"/>
  <c r="E129" i="1"/>
  <c r="F129" i="1"/>
  <c r="G129" i="1"/>
  <c r="I129" i="1"/>
  <c r="C130" i="1"/>
  <c r="D130" i="1"/>
  <c r="E130" i="1"/>
  <c r="F130" i="1"/>
  <c r="G130" i="1"/>
  <c r="I130" i="1"/>
  <c r="C131" i="1"/>
  <c r="G131" i="1" s="1"/>
  <c r="I131" i="1" s="1"/>
  <c r="D131" i="1"/>
  <c r="E131" i="1"/>
  <c r="F131" i="1"/>
  <c r="C132" i="1"/>
  <c r="D132" i="1"/>
  <c r="E132" i="1"/>
  <c r="F132" i="1"/>
  <c r="G132" i="1"/>
  <c r="I132" i="1"/>
  <c r="C133" i="1"/>
  <c r="D133" i="1"/>
  <c r="E133" i="1"/>
  <c r="F133" i="1"/>
  <c r="G133" i="1"/>
  <c r="I133" i="1"/>
  <c r="C134" i="1"/>
  <c r="D134" i="1"/>
  <c r="E134" i="1"/>
  <c r="F134" i="1"/>
  <c r="G134" i="1"/>
  <c r="I134" i="1"/>
  <c r="C135" i="1"/>
  <c r="D135" i="1"/>
  <c r="E135" i="1"/>
  <c r="F135" i="1"/>
  <c r="G135" i="1"/>
  <c r="I135" i="1"/>
  <c r="C136" i="1"/>
  <c r="D136" i="1"/>
  <c r="E136" i="1"/>
  <c r="F136" i="1"/>
  <c r="G136" i="1"/>
  <c r="I136" i="1"/>
  <c r="C137" i="1"/>
  <c r="D137" i="1"/>
  <c r="E137" i="1"/>
  <c r="F137" i="1"/>
  <c r="G137" i="1"/>
  <c r="I137" i="1"/>
  <c r="C138" i="1"/>
  <c r="D138" i="1"/>
  <c r="E138" i="1"/>
  <c r="F138" i="1"/>
  <c r="G138" i="1"/>
  <c r="I138" i="1"/>
  <c r="C139" i="1"/>
  <c r="D139" i="1"/>
  <c r="E139" i="1"/>
  <c r="F139" i="1"/>
  <c r="G139" i="1"/>
  <c r="I139" i="1"/>
  <c r="C140" i="1"/>
  <c r="D140" i="1"/>
  <c r="E140" i="1"/>
  <c r="F140" i="1"/>
  <c r="G140" i="1"/>
  <c r="I140" i="1"/>
  <c r="C141" i="1"/>
  <c r="D141" i="1"/>
  <c r="E141" i="1"/>
  <c r="F141" i="1"/>
  <c r="G141" i="1"/>
  <c r="I141" i="1"/>
  <c r="C142" i="1"/>
  <c r="D142" i="1"/>
  <c r="E142" i="1"/>
  <c r="F142" i="1"/>
  <c r="G142" i="1"/>
  <c r="I142" i="1"/>
  <c r="C143" i="1"/>
  <c r="D143" i="1"/>
  <c r="E143" i="1"/>
  <c r="F143" i="1"/>
  <c r="G143" i="1"/>
  <c r="I143" i="1"/>
  <c r="C144" i="1"/>
  <c r="D144" i="1"/>
  <c r="E144" i="1"/>
  <c r="F144" i="1"/>
  <c r="G144" i="1"/>
  <c r="I144" i="1"/>
  <c r="C145" i="1"/>
  <c r="D145" i="1"/>
  <c r="E145" i="1"/>
  <c r="F145" i="1"/>
  <c r="G145" i="1"/>
  <c r="I145" i="1" s="1"/>
  <c r="C146" i="1"/>
  <c r="D146" i="1"/>
  <c r="E146" i="1"/>
  <c r="F146" i="1"/>
  <c r="G146" i="1"/>
  <c r="I146" i="1" s="1"/>
  <c r="C147" i="1"/>
  <c r="D147" i="1"/>
  <c r="E147" i="1"/>
  <c r="F147" i="1"/>
  <c r="G147" i="1"/>
  <c r="I147" i="1" s="1"/>
  <c r="C148" i="1"/>
  <c r="D148" i="1"/>
  <c r="E148" i="1"/>
  <c r="F148" i="1"/>
  <c r="G148" i="1"/>
  <c r="I148" i="1"/>
  <c r="C149" i="1"/>
  <c r="D149" i="1"/>
  <c r="E149" i="1"/>
  <c r="F149" i="1"/>
  <c r="G149" i="1"/>
  <c r="I149" i="1" s="1"/>
  <c r="C150" i="1"/>
  <c r="D150" i="1"/>
  <c r="E150" i="1"/>
  <c r="F150" i="1"/>
  <c r="G150" i="1"/>
  <c r="I150" i="1"/>
  <c r="C151" i="1"/>
  <c r="D151" i="1"/>
  <c r="E151" i="1"/>
  <c r="F151" i="1"/>
  <c r="G151" i="1"/>
  <c r="I151" i="1"/>
  <c r="C152" i="1"/>
  <c r="D152" i="1"/>
  <c r="E152" i="1"/>
  <c r="F152" i="1"/>
  <c r="G152" i="1"/>
  <c r="I152" i="1"/>
  <c r="C153" i="1"/>
  <c r="D153" i="1"/>
  <c r="E153" i="1"/>
  <c r="F153" i="1"/>
  <c r="G153" i="1"/>
  <c r="I153" i="1"/>
  <c r="C154" i="1"/>
  <c r="D154" i="1"/>
  <c r="E154" i="1"/>
  <c r="F154" i="1"/>
  <c r="G154" i="1"/>
  <c r="I154" i="1"/>
  <c r="C155" i="1"/>
  <c r="D155" i="1"/>
  <c r="E155" i="1"/>
  <c r="F155" i="1"/>
  <c r="G155" i="1"/>
  <c r="I155" i="1"/>
  <c r="C156" i="1"/>
  <c r="D156" i="1"/>
  <c r="E156" i="1"/>
  <c r="F156" i="1"/>
  <c r="G156" i="1"/>
  <c r="I156" i="1"/>
  <c r="C157" i="1"/>
  <c r="D157" i="1"/>
  <c r="E157" i="1"/>
  <c r="F157" i="1"/>
  <c r="G157" i="1"/>
  <c r="I157" i="1"/>
  <c r="C158" i="1"/>
  <c r="D158" i="1"/>
  <c r="E158" i="1"/>
  <c r="F158" i="1"/>
  <c r="G158" i="1"/>
  <c r="I158" i="1"/>
  <c r="C159" i="1"/>
  <c r="D159" i="1"/>
  <c r="E159" i="1"/>
  <c r="F159" i="1"/>
  <c r="G159" i="1"/>
  <c r="I159" i="1"/>
  <c r="C160" i="1"/>
  <c r="D160" i="1"/>
  <c r="E160" i="1"/>
  <c r="F160" i="1"/>
  <c r="G160" i="1"/>
  <c r="I160" i="1"/>
  <c r="C161" i="1"/>
  <c r="D161" i="1"/>
  <c r="E161" i="1"/>
  <c r="F161" i="1"/>
  <c r="G161" i="1"/>
  <c r="I161" i="1"/>
  <c r="C162" i="1"/>
  <c r="D162" i="1"/>
  <c r="E162" i="1"/>
  <c r="F162" i="1"/>
  <c r="G162" i="1"/>
  <c r="I162" i="1"/>
  <c r="C163" i="1"/>
  <c r="D163" i="1"/>
  <c r="E163" i="1"/>
  <c r="F163" i="1"/>
  <c r="G163" i="1"/>
  <c r="I163" i="1"/>
  <c r="C164" i="1"/>
  <c r="D164" i="1"/>
  <c r="E164" i="1"/>
  <c r="F164" i="1"/>
  <c r="G164" i="1"/>
  <c r="I164" i="1"/>
  <c r="C165" i="1"/>
  <c r="D165" i="1"/>
  <c r="E165" i="1"/>
  <c r="F165" i="1"/>
  <c r="G165" i="1"/>
  <c r="I165" i="1"/>
  <c r="C166" i="1"/>
  <c r="D166" i="1"/>
  <c r="E166" i="1"/>
  <c r="F166" i="1"/>
  <c r="G166" i="1"/>
  <c r="I166" i="1"/>
  <c r="C167" i="1"/>
  <c r="D167" i="1"/>
  <c r="E167" i="1"/>
  <c r="F167" i="1"/>
  <c r="G167" i="1"/>
  <c r="I167" i="1"/>
  <c r="C168" i="1"/>
  <c r="G168" i="1" s="1"/>
  <c r="I168" i="1" s="1"/>
  <c r="D168" i="1"/>
  <c r="E168" i="1"/>
  <c r="F168" i="1"/>
  <c r="C169" i="1"/>
  <c r="D169" i="1"/>
  <c r="E169" i="1"/>
  <c r="F169" i="1"/>
  <c r="G169" i="1"/>
  <c r="I169" i="1"/>
  <c r="C170" i="1"/>
  <c r="D170" i="1"/>
  <c r="E170" i="1"/>
  <c r="F170" i="1"/>
  <c r="G170" i="1"/>
  <c r="I170" i="1"/>
  <c r="C171" i="1"/>
  <c r="D171" i="1"/>
  <c r="E171" i="1"/>
  <c r="F171" i="1"/>
  <c r="G171" i="1"/>
  <c r="I171" i="1"/>
  <c r="C172" i="1"/>
  <c r="D172" i="1"/>
  <c r="E172" i="1"/>
  <c r="F172" i="1"/>
  <c r="G172" i="1"/>
  <c r="I172" i="1"/>
  <c r="C173" i="1"/>
  <c r="D173" i="1"/>
  <c r="E173" i="1"/>
  <c r="F173" i="1"/>
  <c r="G173" i="1"/>
  <c r="I173" i="1"/>
  <c r="C174" i="1"/>
  <c r="D174" i="1"/>
  <c r="E174" i="1"/>
  <c r="F174" i="1"/>
  <c r="G174" i="1"/>
  <c r="I174" i="1" s="1"/>
  <c r="C175" i="1"/>
  <c r="D175" i="1"/>
  <c r="E175" i="1"/>
  <c r="F175" i="1"/>
  <c r="G175" i="1"/>
  <c r="I175" i="1" s="1"/>
  <c r="C176" i="1"/>
  <c r="D176" i="1"/>
  <c r="E176" i="1"/>
  <c r="F176" i="1"/>
  <c r="G176" i="1"/>
  <c r="I176" i="1"/>
  <c r="C177" i="1"/>
  <c r="D177" i="1"/>
  <c r="E177" i="1"/>
  <c r="F177" i="1"/>
  <c r="G177" i="1"/>
  <c r="I177" i="1" s="1"/>
  <c r="C178" i="1"/>
  <c r="D178" i="1"/>
  <c r="E178" i="1"/>
  <c r="F178" i="1"/>
  <c r="G178" i="1"/>
  <c r="I178" i="1" s="1"/>
  <c r="C179" i="1"/>
  <c r="D179" i="1"/>
  <c r="E179" i="1"/>
  <c r="F179" i="1"/>
  <c r="G179" i="1"/>
  <c r="I179" i="1"/>
  <c r="C180" i="1"/>
  <c r="D180" i="1"/>
  <c r="E180" i="1"/>
  <c r="F180" i="1"/>
  <c r="G180" i="1"/>
  <c r="I180" i="1" s="1"/>
  <c r="C181" i="1"/>
  <c r="D181" i="1"/>
  <c r="E181" i="1"/>
  <c r="F181" i="1"/>
  <c r="G181" i="1"/>
  <c r="I181" i="1" s="1"/>
  <c r="C182" i="1"/>
  <c r="D182" i="1"/>
  <c r="E182" i="1"/>
  <c r="F182" i="1"/>
  <c r="G182" i="1"/>
  <c r="I182" i="1" s="1"/>
  <c r="C183" i="1"/>
  <c r="D183" i="1"/>
  <c r="E183" i="1"/>
  <c r="F183" i="1"/>
  <c r="G183" i="1"/>
  <c r="I183" i="1" s="1"/>
  <c r="C184" i="1"/>
  <c r="D184" i="1"/>
  <c r="E184" i="1"/>
  <c r="F184" i="1"/>
  <c r="G184" i="1"/>
  <c r="I184" i="1" s="1"/>
  <c r="C185" i="1"/>
  <c r="D185" i="1"/>
  <c r="E185" i="1"/>
  <c r="F185" i="1"/>
  <c r="G185" i="1"/>
  <c r="I185" i="1" s="1"/>
  <c r="C186" i="1"/>
  <c r="D186" i="1"/>
  <c r="E186" i="1"/>
  <c r="F186" i="1"/>
  <c r="G186" i="1"/>
  <c r="I186" i="1" s="1"/>
  <c r="C187" i="1"/>
  <c r="D187" i="1"/>
  <c r="E187" i="1"/>
  <c r="F187" i="1"/>
  <c r="G187" i="1"/>
  <c r="I187" i="1" s="1"/>
  <c r="C188" i="1"/>
  <c r="D188" i="1"/>
  <c r="E188" i="1"/>
  <c r="F188" i="1"/>
  <c r="G188" i="1"/>
  <c r="I188" i="1"/>
  <c r="C189" i="1"/>
  <c r="D189" i="1"/>
  <c r="E189" i="1"/>
  <c r="F189" i="1"/>
  <c r="G189" i="1"/>
  <c r="I189" i="1" s="1"/>
  <c r="C190" i="1"/>
  <c r="D190" i="1"/>
  <c r="E190" i="1"/>
  <c r="G190" i="1" s="1"/>
  <c r="I190" i="1" s="1"/>
  <c r="F190" i="1"/>
  <c r="C191" i="1"/>
  <c r="D191" i="1"/>
  <c r="E191" i="1"/>
  <c r="F191" i="1"/>
  <c r="G191" i="1"/>
  <c r="I191" i="1" s="1"/>
  <c r="C192" i="1"/>
  <c r="D192" i="1"/>
  <c r="E192" i="1"/>
  <c r="F192" i="1"/>
  <c r="G192" i="1"/>
  <c r="I192" i="1" s="1"/>
  <c r="C193" i="1"/>
  <c r="D193" i="1"/>
  <c r="G193" i="1" s="1"/>
  <c r="I193" i="1" s="1"/>
  <c r="E193" i="1"/>
  <c r="F193" i="1"/>
  <c r="C194" i="1"/>
  <c r="D194" i="1"/>
  <c r="E194" i="1"/>
  <c r="F194" i="1"/>
  <c r="G194" i="1"/>
  <c r="I194" i="1"/>
  <c r="C195" i="1"/>
  <c r="D195" i="1"/>
  <c r="E195" i="1"/>
  <c r="F195" i="1"/>
  <c r="G195" i="1"/>
  <c r="I195" i="1" s="1"/>
  <c r="C196" i="1"/>
  <c r="D196" i="1"/>
  <c r="E196" i="1"/>
  <c r="F196" i="1"/>
  <c r="G196" i="1"/>
  <c r="I196" i="1" s="1"/>
  <c r="C197" i="1"/>
  <c r="D197" i="1"/>
  <c r="E197" i="1"/>
  <c r="F197" i="1"/>
  <c r="G197" i="1" s="1"/>
  <c r="I197" i="1" s="1"/>
  <c r="C198" i="1"/>
  <c r="D198" i="1"/>
  <c r="E198" i="1"/>
  <c r="F198" i="1"/>
  <c r="G198" i="1"/>
  <c r="I198" i="1" s="1"/>
  <c r="C199" i="1"/>
  <c r="D199" i="1"/>
  <c r="E199" i="1"/>
  <c r="F199" i="1"/>
  <c r="G199" i="1"/>
  <c r="I199" i="1" s="1"/>
  <c r="C200" i="1"/>
  <c r="D200" i="1"/>
  <c r="E200" i="1"/>
  <c r="F200" i="1"/>
  <c r="G200" i="1"/>
  <c r="I200" i="1"/>
  <c r="C201" i="1"/>
  <c r="D201" i="1"/>
  <c r="E201" i="1"/>
  <c r="F201" i="1"/>
  <c r="G201" i="1"/>
  <c r="I201" i="1" s="1"/>
  <c r="C202" i="1"/>
  <c r="D202" i="1"/>
  <c r="E202" i="1"/>
  <c r="F202" i="1"/>
  <c r="G202" i="1"/>
  <c r="I202" i="1" s="1"/>
  <c r="I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<sst xmlns="http://schemas.openxmlformats.org/spreadsheetml/2006/main" count="37" uniqueCount="32">
  <si>
    <t>Originals:</t>
  </si>
  <si>
    <t>Inj(185A)</t>
  </si>
  <si>
    <t>Mid(-146)</t>
  </si>
  <si>
    <t>Ext(152)</t>
  </si>
  <si>
    <t>Sextupoles(460)</t>
  </si>
  <si>
    <t>Sum(185+152+-146)</t>
  </si>
  <si>
    <t>(Do Not Alter!)</t>
  </si>
  <si>
    <t>B/Becr 28</t>
  </si>
  <si>
    <t>Enter desired currents.</t>
  </si>
  <si>
    <t>Injection (A):</t>
  </si>
  <si>
    <t>Center</t>
  </si>
  <si>
    <t>Extraction</t>
  </si>
  <si>
    <t>Instructions:</t>
  </si>
  <si>
    <t>INJ</t>
  </si>
  <si>
    <t>MID</t>
  </si>
  <si>
    <t>EXT</t>
  </si>
  <si>
    <t>SEXT (460A)</t>
  </si>
  <si>
    <t>Sum (G)</t>
  </si>
  <si>
    <t>Z</t>
  </si>
  <si>
    <t>Sum (T)</t>
  </si>
  <si>
    <t>B/Becr 18</t>
  </si>
  <si>
    <t>Max Field @ Injection:</t>
  </si>
  <si>
    <t>Tesla</t>
  </si>
  <si>
    <t>Max Field @ Extraction:</t>
  </si>
  <si>
    <t>Min Field @ Center:</t>
  </si>
  <si>
    <t>Becr (18 GHz)</t>
  </si>
  <si>
    <t>Becr (28 GHz)</t>
  </si>
  <si>
    <t>k=9.21E-5</t>
  </si>
  <si>
    <t>radius of chamber (cm)</t>
  </si>
  <si>
    <t>r (cm)</t>
  </si>
  <si>
    <t>I</t>
  </si>
  <si>
    <t>B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</si>
</sst>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9"/>
      <name val="Arial"/>
      <family val="2"/>
    </font>
    <font>
      <b/>
      <sz val="10"/>
      <color theme="9"/>
      <name val="Arial"/>
      <family val="2"/>
    </font>
    <font>
      <sz val="10"/>
      <color theme="9"/>
      <name val="Arial"/>
      <family val="2"/>
    </font>
    <font>
      <sz val="11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vertical="center"/>
    </xf>
    <xf numFmtId="0" fontId="3" fillId="0" borderId="0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1" fillId="3" borderId="1" xfId="0" applyFont="1" applyFill="1" applyBorder="1" applyAlignment="1"/>
    <xf numFmtId="0" fontId="0" fillId="0" borderId="0" xfId="0" applyFont="1" applyBorder="1" applyAlignment="1"/>
    <xf numFmtId="0" fontId="1" fillId="2" borderId="0" xfId="0" applyFont="1" applyFill="1" applyBorder="1" applyAlignme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0" fontId="0" fillId="3" borderId="1" xfId="0" applyFont="1" applyFill="1" applyBorder="1" applyAlignment="1"/>
    <xf numFmtId="0" fontId="5" fillId="0" borderId="0" xfId="0" applyFont="1" applyBorder="1" applyAlignment="1"/>
    <xf numFmtId="172" fontId="5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9" fillId="0" borderId="0" xfId="0" applyFont="1" applyBorder="1" applyAlignment="1"/>
    <xf numFmtId="172" fontId="1" fillId="0" borderId="0" xfId="0" applyNumberFormat="1" applyFont="1" applyBorder="1" applyAlignment="1">
      <alignment horizontal="right"/>
    </xf>
    <xf numFmtId="0" fontId="0" fillId="0" borderId="0" xfId="0" applyAlignment="1"/>
    <xf numFmtId="11" fontId="1" fillId="0" borderId="0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0" fontId="3" fillId="4" borderId="0" xfId="0" applyFont="1" applyFill="1" applyBorder="1" applyAlignment="1"/>
    <xf numFmtId="0" fontId="5" fillId="4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 on Axis 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Axial!$I$1</c:f>
              <c:strCache>
                <c:ptCount val="1"/>
                <c:pt idx="0">
                  <c:v>Sum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Axial!$H$2:$H$202</c:f>
              <c:numCache>
                <c:formatCode>General</c:formatCode>
                <c:ptCount val="201"/>
                <c:pt idx="0">
                  <c:v>-100</c:v>
                </c:pt>
                <c:pt idx="1">
                  <c:v>-99</c:v>
                </c:pt>
                <c:pt idx="2">
                  <c:v>-98</c:v>
                </c:pt>
                <c:pt idx="3">
                  <c:v>-97</c:v>
                </c:pt>
                <c:pt idx="4">
                  <c:v>-96</c:v>
                </c:pt>
                <c:pt idx="5">
                  <c:v>-95</c:v>
                </c:pt>
                <c:pt idx="6">
                  <c:v>-94</c:v>
                </c:pt>
                <c:pt idx="7">
                  <c:v>-93</c:v>
                </c:pt>
                <c:pt idx="8">
                  <c:v>-92</c:v>
                </c:pt>
                <c:pt idx="9">
                  <c:v>-91</c:v>
                </c:pt>
                <c:pt idx="10">
                  <c:v>-90</c:v>
                </c:pt>
                <c:pt idx="11">
                  <c:v>-89</c:v>
                </c:pt>
                <c:pt idx="12">
                  <c:v>-88</c:v>
                </c:pt>
                <c:pt idx="13">
                  <c:v>-87</c:v>
                </c:pt>
                <c:pt idx="14">
                  <c:v>-86</c:v>
                </c:pt>
                <c:pt idx="15">
                  <c:v>-85</c:v>
                </c:pt>
                <c:pt idx="16">
                  <c:v>-84</c:v>
                </c:pt>
                <c:pt idx="17">
                  <c:v>-83</c:v>
                </c:pt>
                <c:pt idx="18">
                  <c:v>-82</c:v>
                </c:pt>
                <c:pt idx="19">
                  <c:v>-81</c:v>
                </c:pt>
                <c:pt idx="20">
                  <c:v>-80</c:v>
                </c:pt>
                <c:pt idx="21">
                  <c:v>-79</c:v>
                </c:pt>
                <c:pt idx="22">
                  <c:v>-78</c:v>
                </c:pt>
                <c:pt idx="23">
                  <c:v>-77</c:v>
                </c:pt>
                <c:pt idx="24">
                  <c:v>-76</c:v>
                </c:pt>
                <c:pt idx="25">
                  <c:v>-75</c:v>
                </c:pt>
                <c:pt idx="26">
                  <c:v>-74</c:v>
                </c:pt>
                <c:pt idx="27">
                  <c:v>-73</c:v>
                </c:pt>
                <c:pt idx="28">
                  <c:v>-72</c:v>
                </c:pt>
                <c:pt idx="29">
                  <c:v>-71</c:v>
                </c:pt>
                <c:pt idx="30">
                  <c:v>-70</c:v>
                </c:pt>
                <c:pt idx="31">
                  <c:v>-69</c:v>
                </c:pt>
                <c:pt idx="32">
                  <c:v>-68</c:v>
                </c:pt>
                <c:pt idx="33">
                  <c:v>-67</c:v>
                </c:pt>
                <c:pt idx="34">
                  <c:v>-66</c:v>
                </c:pt>
                <c:pt idx="35">
                  <c:v>-65</c:v>
                </c:pt>
                <c:pt idx="36">
                  <c:v>-64</c:v>
                </c:pt>
                <c:pt idx="37">
                  <c:v>-63</c:v>
                </c:pt>
                <c:pt idx="38">
                  <c:v>-62</c:v>
                </c:pt>
                <c:pt idx="39">
                  <c:v>-61</c:v>
                </c:pt>
                <c:pt idx="40">
                  <c:v>-60</c:v>
                </c:pt>
                <c:pt idx="41">
                  <c:v>-59</c:v>
                </c:pt>
                <c:pt idx="42">
                  <c:v>-58</c:v>
                </c:pt>
                <c:pt idx="43">
                  <c:v>-57</c:v>
                </c:pt>
                <c:pt idx="44">
                  <c:v>-56</c:v>
                </c:pt>
                <c:pt idx="45">
                  <c:v>-55</c:v>
                </c:pt>
                <c:pt idx="46">
                  <c:v>-54</c:v>
                </c:pt>
                <c:pt idx="47">
                  <c:v>-53</c:v>
                </c:pt>
                <c:pt idx="48">
                  <c:v>-52</c:v>
                </c:pt>
                <c:pt idx="49">
                  <c:v>-51</c:v>
                </c:pt>
                <c:pt idx="50">
                  <c:v>-50</c:v>
                </c:pt>
                <c:pt idx="51">
                  <c:v>-49</c:v>
                </c:pt>
                <c:pt idx="52">
                  <c:v>-48</c:v>
                </c:pt>
                <c:pt idx="53">
                  <c:v>-47</c:v>
                </c:pt>
                <c:pt idx="54">
                  <c:v>-46</c:v>
                </c:pt>
                <c:pt idx="55">
                  <c:v>-45</c:v>
                </c:pt>
                <c:pt idx="56">
                  <c:v>-44</c:v>
                </c:pt>
                <c:pt idx="57">
                  <c:v>-43</c:v>
                </c:pt>
                <c:pt idx="58">
                  <c:v>-42</c:v>
                </c:pt>
                <c:pt idx="59">
                  <c:v>-41</c:v>
                </c:pt>
                <c:pt idx="60">
                  <c:v>-40</c:v>
                </c:pt>
                <c:pt idx="61">
                  <c:v>-39</c:v>
                </c:pt>
                <c:pt idx="62">
                  <c:v>-38</c:v>
                </c:pt>
                <c:pt idx="63">
                  <c:v>-37</c:v>
                </c:pt>
                <c:pt idx="64">
                  <c:v>-36</c:v>
                </c:pt>
                <c:pt idx="65">
                  <c:v>-35</c:v>
                </c:pt>
                <c:pt idx="66">
                  <c:v>-34</c:v>
                </c:pt>
                <c:pt idx="67">
                  <c:v>-33</c:v>
                </c:pt>
                <c:pt idx="68">
                  <c:v>-32</c:v>
                </c:pt>
                <c:pt idx="69">
                  <c:v>-31</c:v>
                </c:pt>
                <c:pt idx="70">
                  <c:v>-30</c:v>
                </c:pt>
                <c:pt idx="71">
                  <c:v>-29</c:v>
                </c:pt>
                <c:pt idx="72">
                  <c:v>-28</c:v>
                </c:pt>
                <c:pt idx="73">
                  <c:v>-27</c:v>
                </c:pt>
                <c:pt idx="74">
                  <c:v>-26</c:v>
                </c:pt>
                <c:pt idx="75">
                  <c:v>-25</c:v>
                </c:pt>
                <c:pt idx="76">
                  <c:v>-24</c:v>
                </c:pt>
                <c:pt idx="77">
                  <c:v>-23</c:v>
                </c:pt>
                <c:pt idx="78">
                  <c:v>-22</c:v>
                </c:pt>
                <c:pt idx="79">
                  <c:v>-21</c:v>
                </c:pt>
                <c:pt idx="80">
                  <c:v>-20</c:v>
                </c:pt>
                <c:pt idx="81">
                  <c:v>-19</c:v>
                </c:pt>
                <c:pt idx="82">
                  <c:v>-18</c:v>
                </c:pt>
                <c:pt idx="83">
                  <c:v>-17</c:v>
                </c:pt>
                <c:pt idx="84">
                  <c:v>-16</c:v>
                </c:pt>
                <c:pt idx="85">
                  <c:v>-15</c:v>
                </c:pt>
                <c:pt idx="86">
                  <c:v>-14</c:v>
                </c:pt>
                <c:pt idx="87">
                  <c:v>-13</c:v>
                </c:pt>
                <c:pt idx="88">
                  <c:v>-12</c:v>
                </c:pt>
                <c:pt idx="89">
                  <c:v>-11</c:v>
                </c:pt>
                <c:pt idx="90">
                  <c:v>-10</c:v>
                </c:pt>
                <c:pt idx="91">
                  <c:v>-9</c:v>
                </c:pt>
                <c:pt idx="92">
                  <c:v>-8</c:v>
                </c:pt>
                <c:pt idx="93">
                  <c:v>-7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-3</c:v>
                </c:pt>
                <c:pt idx="98">
                  <c:v>-2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</c:numCache>
            </c:numRef>
          </c:xVal>
          <c:yVal>
            <c:numRef>
              <c:f>Axial!$I$2:$I$202</c:f>
              <c:numCache>
                <c:formatCode>General</c:formatCode>
                <c:ptCount val="201"/>
                <c:pt idx="0">
                  <c:v>1.8207462183244824E-3</c:v>
                </c:pt>
                <c:pt idx="1">
                  <c:v>1.9987179090728275E-3</c:v>
                </c:pt>
                <c:pt idx="2">
                  <c:v>2.1766896004096212E-3</c:v>
                </c:pt>
                <c:pt idx="3">
                  <c:v>2.3546612912178338E-3</c:v>
                </c:pt>
                <c:pt idx="4">
                  <c:v>2.5326329825546274E-3</c:v>
                </c:pt>
                <c:pt idx="5">
                  <c:v>2.7106046738914215E-3</c:v>
                </c:pt>
                <c:pt idx="6">
                  <c:v>2.8885763646996341E-3</c:v>
                </c:pt>
                <c:pt idx="7">
                  <c:v>3.0665480560364282E-3</c:v>
                </c:pt>
                <c:pt idx="8">
                  <c:v>3.2445197474878845E-3</c:v>
                </c:pt>
                <c:pt idx="9">
                  <c:v>3.4885316966652676E-3</c:v>
                </c:pt>
                <c:pt idx="10">
                  <c:v>3.9707362328408992E-3</c:v>
                </c:pt>
                <c:pt idx="11">
                  <c:v>4.4529407696597733E-3</c:v>
                </c:pt>
                <c:pt idx="12">
                  <c:v>4.935145305835404E-3</c:v>
                </c:pt>
                <c:pt idx="13">
                  <c:v>5.4173498427090719E-3</c:v>
                </c:pt>
                <c:pt idx="14">
                  <c:v>5.8995543788248339E-3</c:v>
                </c:pt>
                <c:pt idx="15">
                  <c:v>6.381758913713979E-3</c:v>
                </c:pt>
                <c:pt idx="16">
                  <c:v>6.8639634543923127E-3</c:v>
                </c:pt>
                <c:pt idx="17">
                  <c:v>7.3461679886930075E-3</c:v>
                </c:pt>
                <c:pt idx="18">
                  <c:v>7.8283725229389076E-3</c:v>
                </c:pt>
                <c:pt idx="19">
                  <c:v>8.4978648318380316E-3</c:v>
                </c:pt>
                <c:pt idx="20">
                  <c:v>9.5515664744957613E-3</c:v>
                </c:pt>
                <c:pt idx="21">
                  <c:v>1.0605268123531122E-2</c:v>
                </c:pt>
                <c:pt idx="22">
                  <c:v>1.1658969772790743E-2</c:v>
                </c:pt>
                <c:pt idx="23">
                  <c:v>1.2712671421552128E-2</c:v>
                </c:pt>
                <c:pt idx="24">
                  <c:v>1.4212863916817944E-2</c:v>
                </c:pt>
                <c:pt idx="25">
                  <c:v>1.6432229310778149E-2</c:v>
                </c:pt>
                <c:pt idx="26">
                  <c:v>1.8651594710383357E-2</c:v>
                </c:pt>
                <c:pt idx="27">
                  <c:v>2.0870960104642917E-2</c:v>
                </c:pt>
                <c:pt idx="28">
                  <c:v>2.3090325504188287E-2</c:v>
                </c:pt>
                <c:pt idx="29">
                  <c:v>2.6817878511417991E-2</c:v>
                </c:pt>
                <c:pt idx="30">
                  <c:v>3.2477789212763952E-2</c:v>
                </c:pt>
                <c:pt idx="31">
                  <c:v>3.8137699914657847E-2</c:v>
                </c:pt>
                <c:pt idx="32">
                  <c:v>4.5699539692717034E-2</c:v>
                </c:pt>
                <c:pt idx="33">
                  <c:v>5.3328284668908897E-2</c:v>
                </c:pt>
                <c:pt idx="34">
                  <c:v>6.2434625264362331E-2</c:v>
                </c:pt>
                <c:pt idx="35">
                  <c:v>7.3056401907927462E-2</c:v>
                </c:pt>
                <c:pt idx="36">
                  <c:v>8.3825405397219749E-2</c:v>
                </c:pt>
                <c:pt idx="37">
                  <c:v>0.10134651250548049</c:v>
                </c:pt>
                <c:pt idx="38">
                  <c:v>0.11650398672056117</c:v>
                </c:pt>
                <c:pt idx="39">
                  <c:v>0.13860555601974117</c:v>
                </c:pt>
                <c:pt idx="40">
                  <c:v>0.16566310875453782</c:v>
                </c:pt>
                <c:pt idx="41">
                  <c:v>0.19404566743203533</c:v>
                </c:pt>
                <c:pt idx="42">
                  <c:v>0.22663682388543749</c:v>
                </c:pt>
                <c:pt idx="43">
                  <c:v>0.2631463560293435</c:v>
                </c:pt>
                <c:pt idx="44">
                  <c:v>0.30403675142990949</c:v>
                </c:pt>
                <c:pt idx="45">
                  <c:v>0.34913701978996498</c:v>
                </c:pt>
                <c:pt idx="46">
                  <c:v>0.39851679754941538</c:v>
                </c:pt>
                <c:pt idx="47">
                  <c:v>0.45032795643339907</c:v>
                </c:pt>
                <c:pt idx="48">
                  <c:v>0.5057195593401842</c:v>
                </c:pt>
                <c:pt idx="49">
                  <c:v>0.56344829824017384</c:v>
                </c:pt>
                <c:pt idx="50">
                  <c:v>0.62321262695776503</c:v>
                </c:pt>
                <c:pt idx="51">
                  <c:v>0.68442837226146092</c:v>
                </c:pt>
                <c:pt idx="52">
                  <c:v>0.74668189620571535</c:v>
                </c:pt>
                <c:pt idx="53">
                  <c:v>0.80981660009983936</c:v>
                </c:pt>
                <c:pt idx="54">
                  <c:v>0.8743587361091324</c:v>
                </c:pt>
                <c:pt idx="55">
                  <c:v>0.94011851349961706</c:v>
                </c:pt>
                <c:pt idx="56">
                  <c:v>1.0074123681466267</c:v>
                </c:pt>
                <c:pt idx="57">
                  <c:v>1.0763747389731977</c:v>
                </c:pt>
                <c:pt idx="58">
                  <c:v>1.1472293452559508</c:v>
                </c:pt>
                <c:pt idx="59">
                  <c:v>1.2201579498676725</c:v>
                </c:pt>
                <c:pt idx="60">
                  <c:v>1.2950281693595564</c:v>
                </c:pt>
                <c:pt idx="61">
                  <c:v>1.3717372884190213</c:v>
                </c:pt>
                <c:pt idx="62">
                  <c:v>1.4499434105045452</c:v>
                </c:pt>
                <c:pt idx="63">
                  <c:v>1.5291325676556269</c:v>
                </c:pt>
                <c:pt idx="64">
                  <c:v>1.6086215854939925</c:v>
                </c:pt>
                <c:pt idx="65">
                  <c:v>1.6875706164524134</c:v>
                </c:pt>
                <c:pt idx="66">
                  <c:v>1.7649856295031987</c:v>
                </c:pt>
                <c:pt idx="67">
                  <c:v>1.8397961966161973</c:v>
                </c:pt>
                <c:pt idx="68">
                  <c:v>1.910826260669086</c:v>
                </c:pt>
                <c:pt idx="69">
                  <c:v>1.9768348765505437</c:v>
                </c:pt>
                <c:pt idx="70">
                  <c:v>2.0366217726039348</c:v>
                </c:pt>
                <c:pt idx="71">
                  <c:v>2.0889645460635693</c:v>
                </c:pt>
                <c:pt idx="72">
                  <c:v>2.1328075272898039</c:v>
                </c:pt>
                <c:pt idx="73">
                  <c:v>2.1671535874413381</c:v>
                </c:pt>
                <c:pt idx="74">
                  <c:v>2.1909765450150234</c:v>
                </c:pt>
                <c:pt idx="75">
                  <c:v>2.2035021120119955</c:v>
                </c:pt>
                <c:pt idx="76">
                  <c:v>2.2040516902333045</c:v>
                </c:pt>
                <c:pt idx="77">
                  <c:v>2.1921725064393867</c:v>
                </c:pt>
                <c:pt idx="78">
                  <c:v>2.1673478504947199</c:v>
                </c:pt>
                <c:pt idx="79">
                  <c:v>2.1294491806927067</c:v>
                </c:pt>
                <c:pt idx="80">
                  <c:v>2.0791864563691713</c:v>
                </c:pt>
                <c:pt idx="81">
                  <c:v>2.0167936748894486</c:v>
                </c:pt>
                <c:pt idx="82">
                  <c:v>1.9433110874908259</c:v>
                </c:pt>
                <c:pt idx="83">
                  <c:v>1.860026334836032</c:v>
                </c:pt>
                <c:pt idx="84">
                  <c:v>1.7694945321682878</c:v>
                </c:pt>
                <c:pt idx="85">
                  <c:v>1.6726691252951296</c:v>
                </c:pt>
                <c:pt idx="86">
                  <c:v>1.5722326778694307</c:v>
                </c:pt>
                <c:pt idx="87">
                  <c:v>1.4693526857596264</c:v>
                </c:pt>
                <c:pt idx="88">
                  <c:v>1.3663174850307964</c:v>
                </c:pt>
                <c:pt idx="89">
                  <c:v>1.2636280823234458</c:v>
                </c:pt>
                <c:pt idx="90">
                  <c:v>1.1620790720073169</c:v>
                </c:pt>
                <c:pt idx="91">
                  <c:v>1.0642152341267026</c:v>
                </c:pt>
                <c:pt idx="92">
                  <c:v>0.97024152052207335</c:v>
                </c:pt>
                <c:pt idx="93">
                  <c:v>0.88087978273570822</c:v>
                </c:pt>
                <c:pt idx="94">
                  <c:v>0.79602408058819041</c:v>
                </c:pt>
                <c:pt idx="95">
                  <c:v>0.71777039921923247</c:v>
                </c:pt>
                <c:pt idx="96">
                  <c:v>0.64676066937454368</c:v>
                </c:pt>
                <c:pt idx="97">
                  <c:v>0.58238242078322056</c:v>
                </c:pt>
                <c:pt idx="98">
                  <c:v>0.52676915175458972</c:v>
                </c:pt>
                <c:pt idx="99">
                  <c:v>0.47835187010393648</c:v>
                </c:pt>
                <c:pt idx="100">
                  <c:v>0.43937197969446362</c:v>
                </c:pt>
                <c:pt idx="101">
                  <c:v>0.40918887130850762</c:v>
                </c:pt>
                <c:pt idx="102">
                  <c:v>0.38868411309435941</c:v>
                </c:pt>
                <c:pt idx="103">
                  <c:v>0.37766712722418538</c:v>
                </c:pt>
                <c:pt idx="104">
                  <c:v>0.37486932390748023</c:v>
                </c:pt>
                <c:pt idx="105">
                  <c:v>0.38000625521125608</c:v>
                </c:pt>
                <c:pt idx="106">
                  <c:v>0.39457128990900581</c:v>
                </c:pt>
                <c:pt idx="107">
                  <c:v>0.41662819982922972</c:v>
                </c:pt>
                <c:pt idx="108">
                  <c:v>0.44596849435330088</c:v>
                </c:pt>
                <c:pt idx="109">
                  <c:v>0.48179738076688317</c:v>
                </c:pt>
                <c:pt idx="110">
                  <c:v>0.5232138629056079</c:v>
                </c:pt>
                <c:pt idx="111">
                  <c:v>0.57129495304239664</c:v>
                </c:pt>
                <c:pt idx="112">
                  <c:v>0.62362128331112521</c:v>
                </c:pt>
                <c:pt idx="113">
                  <c:v>0.68084211027068997</c:v>
                </c:pt>
                <c:pt idx="114">
                  <c:v>0.74142174211689149</c:v>
                </c:pt>
                <c:pt idx="115">
                  <c:v>0.80417601549929718</c:v>
                </c:pt>
                <c:pt idx="116">
                  <c:v>0.86806037409058678</c:v>
                </c:pt>
                <c:pt idx="117">
                  <c:v>0.93187204151693459</c:v>
                </c:pt>
                <c:pt idx="118">
                  <c:v>0.9946729890897692</c:v>
                </c:pt>
                <c:pt idx="119">
                  <c:v>1.053849352971272</c:v>
                </c:pt>
                <c:pt idx="120">
                  <c:v>1.109078958871984</c:v>
                </c:pt>
                <c:pt idx="121">
                  <c:v>1.1589969697736553</c:v>
                </c:pt>
                <c:pt idx="122">
                  <c:v>1.2026176415610577</c:v>
                </c:pt>
                <c:pt idx="123">
                  <c:v>1.2392269573347374</c:v>
                </c:pt>
                <c:pt idx="124">
                  <c:v>1.2681972430371009</c:v>
                </c:pt>
                <c:pt idx="125">
                  <c:v>1.289129868321178</c:v>
                </c:pt>
                <c:pt idx="126">
                  <c:v>1.3019560178538683</c:v>
                </c:pt>
                <c:pt idx="127">
                  <c:v>1.3065882227262757</c:v>
                </c:pt>
                <c:pt idx="128">
                  <c:v>1.303211151015196</c:v>
                </c:pt>
                <c:pt idx="129">
                  <c:v>1.2921181423937547</c:v>
                </c:pt>
                <c:pt idx="130">
                  <c:v>1.2738522080019186</c:v>
                </c:pt>
                <c:pt idx="131">
                  <c:v>1.2489634663100126</c:v>
                </c:pt>
                <c:pt idx="132">
                  <c:v>1.2182827642602421</c:v>
                </c:pt>
                <c:pt idx="133">
                  <c:v>1.1826251742235543</c:v>
                </c:pt>
                <c:pt idx="134">
                  <c:v>1.1428424461070872</c:v>
                </c:pt>
                <c:pt idx="135">
                  <c:v>1.0999677351300392</c:v>
                </c:pt>
                <c:pt idx="136">
                  <c:v>1.0548851218598891</c:v>
                </c:pt>
                <c:pt idx="137">
                  <c:v>1.0084039892052714</c:v>
                </c:pt>
                <c:pt idx="138">
                  <c:v>0.96134325153077804</c:v>
                </c:pt>
                <c:pt idx="139">
                  <c:v>0.91434738962220963</c:v>
                </c:pt>
                <c:pt idx="140">
                  <c:v>0.86799578754530671</c:v>
                </c:pt>
                <c:pt idx="141">
                  <c:v>0.82265522332202345</c:v>
                </c:pt>
                <c:pt idx="142">
                  <c:v>0.7786643513477115</c:v>
                </c:pt>
                <c:pt idx="143">
                  <c:v>0.73615548750256732</c:v>
                </c:pt>
                <c:pt idx="144">
                  <c:v>0.69509851121525945</c:v>
                </c:pt>
                <c:pt idx="145">
                  <c:v>0.65534518044590262</c:v>
                </c:pt>
                <c:pt idx="146">
                  <c:v>0.6167854807836699</c:v>
                </c:pt>
                <c:pt idx="147">
                  <c:v>0.57893321664470621</c:v>
                </c:pt>
                <c:pt idx="148">
                  <c:v>0.5413470965840691</c:v>
                </c:pt>
                <c:pt idx="149">
                  <c:v>0.50396031733516589</c:v>
                </c:pt>
                <c:pt idx="150">
                  <c:v>0.46606192422726073</c:v>
                </c:pt>
                <c:pt idx="151">
                  <c:v>0.42768685840403425</c:v>
                </c:pt>
                <c:pt idx="152">
                  <c:v>0.38846363358854524</c:v>
                </c:pt>
                <c:pt idx="153">
                  <c:v>0.34883864438904705</c:v>
                </c:pt>
                <c:pt idx="154">
                  <c:v>0.30883386878913688</c:v>
                </c:pt>
                <c:pt idx="155">
                  <c:v>0.27078227142818434</c:v>
                </c:pt>
                <c:pt idx="156">
                  <c:v>0.2336232840165666</c:v>
                </c:pt>
                <c:pt idx="157">
                  <c:v>0.20023447256720012</c:v>
                </c:pt>
                <c:pt idx="158">
                  <c:v>0.16825338395943223</c:v>
                </c:pt>
                <c:pt idx="159">
                  <c:v>0.14053999781919305</c:v>
                </c:pt>
                <c:pt idx="160">
                  <c:v>0.1159325524755397</c:v>
                </c:pt>
                <c:pt idx="161">
                  <c:v>9.4498532251287307E-2</c:v>
                </c:pt>
                <c:pt idx="162">
                  <c:v>7.5984153866200707E-2</c:v>
                </c:pt>
                <c:pt idx="163">
                  <c:v>6.0297589080452602E-2</c:v>
                </c:pt>
                <c:pt idx="164">
                  <c:v>4.5756082989805699E-2</c:v>
                </c:pt>
                <c:pt idx="165">
                  <c:v>3.641426084757407E-2</c:v>
                </c:pt>
                <c:pt idx="166">
                  <c:v>2.8013895857609918E-2</c:v>
                </c:pt>
                <c:pt idx="167">
                  <c:v>2.1235282043065819E-2</c:v>
                </c:pt>
                <c:pt idx="168">
                  <c:v>1.6028036325851151E-2</c:v>
                </c:pt>
                <c:pt idx="169">
                  <c:v>1.2049725285724518E-2</c:v>
                </c:pt>
                <c:pt idx="170">
                  <c:v>9.1112680550164589E-3</c:v>
                </c:pt>
                <c:pt idx="171">
                  <c:v>6.8740370117389904E-3</c:v>
                </c:pt>
                <c:pt idx="172">
                  <c:v>5.2426713706380393E-3</c:v>
                </c:pt>
                <c:pt idx="173">
                  <c:v>4.035666911272013E-3</c:v>
                </c:pt>
                <c:pt idx="174">
                  <c:v>3.163670787394816E-3</c:v>
                </c:pt>
                <c:pt idx="175">
                  <c:v>2.5138022869903342E-3</c:v>
                </c:pt>
                <c:pt idx="176">
                  <c:v>2.0069311801742219E-3</c:v>
                </c:pt>
                <c:pt idx="177">
                  <c:v>1.6349890762235332E-3</c:v>
                </c:pt>
                <c:pt idx="178">
                  <c:v>1.3547252088752129E-3</c:v>
                </c:pt>
                <c:pt idx="179">
                  <c:v>1.1325967995441295E-3</c:v>
                </c:pt>
                <c:pt idx="180">
                  <c:v>9.603845813856665E-4</c:v>
                </c:pt>
                <c:pt idx="181">
                  <c:v>8.2206174874776411E-4</c:v>
                </c:pt>
                <c:pt idx="182">
                  <c:v>7.124411331560454E-4</c:v>
                </c:pt>
                <c:pt idx="183">
                  <c:v>6.2080774609456278E-4</c:v>
                </c:pt>
                <c:pt idx="184">
                  <c:v>5.443820626075687E-4</c:v>
                </c:pt>
                <c:pt idx="185">
                  <c:v>4.8039772609854108E-4</c:v>
                </c:pt>
                <c:pt idx="186">
                  <c:v>4.2306876208784516E-4</c:v>
                </c:pt>
                <c:pt idx="187">
                  <c:v>3.7483415974475111E-4</c:v>
                </c:pt>
                <c:pt idx="188">
                  <c:v>3.2976993937334977E-4</c:v>
                </c:pt>
                <c:pt idx="189">
                  <c:v>2.9011779762556656E-4</c:v>
                </c:pt>
                <c:pt idx="190">
                  <c:v>2.5491399888617864E-4</c:v>
                </c:pt>
                <c:pt idx="191">
                  <c:v>2.2286712305218592E-4</c:v>
                </c:pt>
                <c:pt idx="192">
                  <c:v>1.9631878990426362E-4</c:v>
                </c:pt>
                <c:pt idx="193">
                  <c:v>1.7455318301020647E-4</c:v>
                </c:pt>
                <c:pt idx="194">
                  <c:v>1.5857342921438128E-4</c:v>
                </c:pt>
                <c:pt idx="195">
                  <c:v>1.4664776798393287E-4</c:v>
                </c:pt>
                <c:pt idx="196">
                  <c:v>1.3862759135738255E-4</c:v>
                </c:pt>
                <c:pt idx="197">
                  <c:v>1.3341541970592448E-4</c:v>
                </c:pt>
                <c:pt idx="198">
                  <c:v>1.3016061258266324E-4</c:v>
                </c:pt>
                <c:pt idx="199">
                  <c:v>1.2802899442375469E-4</c:v>
                </c:pt>
                <c:pt idx="200">
                  <c:v>1.2646560470921714E-4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C6-402F-A2B8-1E76DB1DA9CB}"/>
            </c:ext>
          </c:extLst>
        </c:ser>
        <c:ser>
          <c:idx val="2"/>
          <c:order val="1"/>
          <c:tx>
            <c:v>Becr 28 GHz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Axial!$H$2:$H$202</c:f>
              <c:numCache>
                <c:formatCode>General</c:formatCode>
                <c:ptCount val="201"/>
                <c:pt idx="0">
                  <c:v>-100</c:v>
                </c:pt>
                <c:pt idx="1">
                  <c:v>-99</c:v>
                </c:pt>
                <c:pt idx="2">
                  <c:v>-98</c:v>
                </c:pt>
                <c:pt idx="3">
                  <c:v>-97</c:v>
                </c:pt>
                <c:pt idx="4">
                  <c:v>-96</c:v>
                </c:pt>
                <c:pt idx="5">
                  <c:v>-95</c:v>
                </c:pt>
                <c:pt idx="6">
                  <c:v>-94</c:v>
                </c:pt>
                <c:pt idx="7">
                  <c:v>-93</c:v>
                </c:pt>
                <c:pt idx="8">
                  <c:v>-92</c:v>
                </c:pt>
                <c:pt idx="9">
                  <c:v>-91</c:v>
                </c:pt>
                <c:pt idx="10">
                  <c:v>-90</c:v>
                </c:pt>
                <c:pt idx="11">
                  <c:v>-89</c:v>
                </c:pt>
                <c:pt idx="12">
                  <c:v>-88</c:v>
                </c:pt>
                <c:pt idx="13">
                  <c:v>-87</c:v>
                </c:pt>
                <c:pt idx="14">
                  <c:v>-86</c:v>
                </c:pt>
                <c:pt idx="15">
                  <c:v>-85</c:v>
                </c:pt>
                <c:pt idx="16">
                  <c:v>-84</c:v>
                </c:pt>
                <c:pt idx="17">
                  <c:v>-83</c:v>
                </c:pt>
                <c:pt idx="18">
                  <c:v>-82</c:v>
                </c:pt>
                <c:pt idx="19">
                  <c:v>-81</c:v>
                </c:pt>
                <c:pt idx="20">
                  <c:v>-80</c:v>
                </c:pt>
                <c:pt idx="21">
                  <c:v>-79</c:v>
                </c:pt>
                <c:pt idx="22">
                  <c:v>-78</c:v>
                </c:pt>
                <c:pt idx="23">
                  <c:v>-77</c:v>
                </c:pt>
                <c:pt idx="24">
                  <c:v>-76</c:v>
                </c:pt>
                <c:pt idx="25">
                  <c:v>-75</c:v>
                </c:pt>
                <c:pt idx="26">
                  <c:v>-74</c:v>
                </c:pt>
                <c:pt idx="27">
                  <c:v>-73</c:v>
                </c:pt>
                <c:pt idx="28">
                  <c:v>-72</c:v>
                </c:pt>
                <c:pt idx="29">
                  <c:v>-71</c:v>
                </c:pt>
                <c:pt idx="30">
                  <c:v>-70</c:v>
                </c:pt>
                <c:pt idx="31">
                  <c:v>-69</c:v>
                </c:pt>
                <c:pt idx="32">
                  <c:v>-68</c:v>
                </c:pt>
                <c:pt idx="33">
                  <c:v>-67</c:v>
                </c:pt>
                <c:pt idx="34">
                  <c:v>-66</c:v>
                </c:pt>
                <c:pt idx="35">
                  <c:v>-65</c:v>
                </c:pt>
                <c:pt idx="36">
                  <c:v>-64</c:v>
                </c:pt>
                <c:pt idx="37">
                  <c:v>-63</c:v>
                </c:pt>
                <c:pt idx="38">
                  <c:v>-62</c:v>
                </c:pt>
                <c:pt idx="39">
                  <c:v>-61</c:v>
                </c:pt>
                <c:pt idx="40">
                  <c:v>-60</c:v>
                </c:pt>
                <c:pt idx="41">
                  <c:v>-59</c:v>
                </c:pt>
                <c:pt idx="42">
                  <c:v>-58</c:v>
                </c:pt>
                <c:pt idx="43">
                  <c:v>-57</c:v>
                </c:pt>
                <c:pt idx="44">
                  <c:v>-56</c:v>
                </c:pt>
                <c:pt idx="45">
                  <c:v>-55</c:v>
                </c:pt>
                <c:pt idx="46">
                  <c:v>-54</c:v>
                </c:pt>
                <c:pt idx="47">
                  <c:v>-53</c:v>
                </c:pt>
                <c:pt idx="48">
                  <c:v>-52</c:v>
                </c:pt>
                <c:pt idx="49">
                  <c:v>-51</c:v>
                </c:pt>
                <c:pt idx="50">
                  <c:v>-50</c:v>
                </c:pt>
                <c:pt idx="51">
                  <c:v>-49</c:v>
                </c:pt>
                <c:pt idx="52">
                  <c:v>-48</c:v>
                </c:pt>
                <c:pt idx="53">
                  <c:v>-47</c:v>
                </c:pt>
                <c:pt idx="54">
                  <c:v>-46</c:v>
                </c:pt>
                <c:pt idx="55">
                  <c:v>-45</c:v>
                </c:pt>
                <c:pt idx="56">
                  <c:v>-44</c:v>
                </c:pt>
                <c:pt idx="57">
                  <c:v>-43</c:v>
                </c:pt>
                <c:pt idx="58">
                  <c:v>-42</c:v>
                </c:pt>
                <c:pt idx="59">
                  <c:v>-41</c:v>
                </c:pt>
                <c:pt idx="60">
                  <c:v>-40</c:v>
                </c:pt>
                <c:pt idx="61">
                  <c:v>-39</c:v>
                </c:pt>
                <c:pt idx="62">
                  <c:v>-38</c:v>
                </c:pt>
                <c:pt idx="63">
                  <c:v>-37</c:v>
                </c:pt>
                <c:pt idx="64">
                  <c:v>-36</c:v>
                </c:pt>
                <c:pt idx="65">
                  <c:v>-35</c:v>
                </c:pt>
                <c:pt idx="66">
                  <c:v>-34</c:v>
                </c:pt>
                <c:pt idx="67">
                  <c:v>-33</c:v>
                </c:pt>
                <c:pt idx="68">
                  <c:v>-32</c:v>
                </c:pt>
                <c:pt idx="69">
                  <c:v>-31</c:v>
                </c:pt>
                <c:pt idx="70">
                  <c:v>-30</c:v>
                </c:pt>
                <c:pt idx="71">
                  <c:v>-29</c:v>
                </c:pt>
                <c:pt idx="72">
                  <c:v>-28</c:v>
                </c:pt>
                <c:pt idx="73">
                  <c:v>-27</c:v>
                </c:pt>
                <c:pt idx="74">
                  <c:v>-26</c:v>
                </c:pt>
                <c:pt idx="75">
                  <c:v>-25</c:v>
                </c:pt>
                <c:pt idx="76">
                  <c:v>-24</c:v>
                </c:pt>
                <c:pt idx="77">
                  <c:v>-23</c:v>
                </c:pt>
                <c:pt idx="78">
                  <c:v>-22</c:v>
                </c:pt>
                <c:pt idx="79">
                  <c:v>-21</c:v>
                </c:pt>
                <c:pt idx="80">
                  <c:v>-20</c:v>
                </c:pt>
                <c:pt idx="81">
                  <c:v>-19</c:v>
                </c:pt>
                <c:pt idx="82">
                  <c:v>-18</c:v>
                </c:pt>
                <c:pt idx="83">
                  <c:v>-17</c:v>
                </c:pt>
                <c:pt idx="84">
                  <c:v>-16</c:v>
                </c:pt>
                <c:pt idx="85">
                  <c:v>-15</c:v>
                </c:pt>
                <c:pt idx="86">
                  <c:v>-14</c:v>
                </c:pt>
                <c:pt idx="87">
                  <c:v>-13</c:v>
                </c:pt>
                <c:pt idx="88">
                  <c:v>-12</c:v>
                </c:pt>
                <c:pt idx="89">
                  <c:v>-11</c:v>
                </c:pt>
                <c:pt idx="90">
                  <c:v>-10</c:v>
                </c:pt>
                <c:pt idx="91">
                  <c:v>-9</c:v>
                </c:pt>
                <c:pt idx="92">
                  <c:v>-8</c:v>
                </c:pt>
                <c:pt idx="93">
                  <c:v>-7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-3</c:v>
                </c:pt>
                <c:pt idx="98">
                  <c:v>-2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</c:numCache>
            </c:numRef>
          </c:xVal>
          <c:yVal>
            <c:numRef>
              <c:f>Axial!$W$2:$W$202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C6-402F-A2B8-1E76DB1DA9CB}"/>
            </c:ext>
          </c:extLst>
        </c:ser>
        <c:ser>
          <c:idx val="1"/>
          <c:order val="2"/>
          <c:tx>
            <c:v>Becr 18 GHz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Axial!$H$2:$H$202</c:f>
              <c:numCache>
                <c:formatCode>General</c:formatCode>
                <c:ptCount val="201"/>
                <c:pt idx="0">
                  <c:v>-100</c:v>
                </c:pt>
                <c:pt idx="1">
                  <c:v>-99</c:v>
                </c:pt>
                <c:pt idx="2">
                  <c:v>-98</c:v>
                </c:pt>
                <c:pt idx="3">
                  <c:v>-97</c:v>
                </c:pt>
                <c:pt idx="4">
                  <c:v>-96</c:v>
                </c:pt>
                <c:pt idx="5">
                  <c:v>-95</c:v>
                </c:pt>
                <c:pt idx="6">
                  <c:v>-94</c:v>
                </c:pt>
                <c:pt idx="7">
                  <c:v>-93</c:v>
                </c:pt>
                <c:pt idx="8">
                  <c:v>-92</c:v>
                </c:pt>
                <c:pt idx="9">
                  <c:v>-91</c:v>
                </c:pt>
                <c:pt idx="10">
                  <c:v>-90</c:v>
                </c:pt>
                <c:pt idx="11">
                  <c:v>-89</c:v>
                </c:pt>
                <c:pt idx="12">
                  <c:v>-88</c:v>
                </c:pt>
                <c:pt idx="13">
                  <c:v>-87</c:v>
                </c:pt>
                <c:pt idx="14">
                  <c:v>-86</c:v>
                </c:pt>
                <c:pt idx="15">
                  <c:v>-85</c:v>
                </c:pt>
                <c:pt idx="16">
                  <c:v>-84</c:v>
                </c:pt>
                <c:pt idx="17">
                  <c:v>-83</c:v>
                </c:pt>
                <c:pt idx="18">
                  <c:v>-82</c:v>
                </c:pt>
                <c:pt idx="19">
                  <c:v>-81</c:v>
                </c:pt>
                <c:pt idx="20">
                  <c:v>-80</c:v>
                </c:pt>
                <c:pt idx="21">
                  <c:v>-79</c:v>
                </c:pt>
                <c:pt idx="22">
                  <c:v>-78</c:v>
                </c:pt>
                <c:pt idx="23">
                  <c:v>-77</c:v>
                </c:pt>
                <c:pt idx="24">
                  <c:v>-76</c:v>
                </c:pt>
                <c:pt idx="25">
                  <c:v>-75</c:v>
                </c:pt>
                <c:pt idx="26">
                  <c:v>-74</c:v>
                </c:pt>
                <c:pt idx="27">
                  <c:v>-73</c:v>
                </c:pt>
                <c:pt idx="28">
                  <c:v>-72</c:v>
                </c:pt>
                <c:pt idx="29">
                  <c:v>-71</c:v>
                </c:pt>
                <c:pt idx="30">
                  <c:v>-70</c:v>
                </c:pt>
                <c:pt idx="31">
                  <c:v>-69</c:v>
                </c:pt>
                <c:pt idx="32">
                  <c:v>-68</c:v>
                </c:pt>
                <c:pt idx="33">
                  <c:v>-67</c:v>
                </c:pt>
                <c:pt idx="34">
                  <c:v>-66</c:v>
                </c:pt>
                <c:pt idx="35">
                  <c:v>-65</c:v>
                </c:pt>
                <c:pt idx="36">
                  <c:v>-64</c:v>
                </c:pt>
                <c:pt idx="37">
                  <c:v>-63</c:v>
                </c:pt>
                <c:pt idx="38">
                  <c:v>-62</c:v>
                </c:pt>
                <c:pt idx="39">
                  <c:v>-61</c:v>
                </c:pt>
                <c:pt idx="40">
                  <c:v>-60</c:v>
                </c:pt>
                <c:pt idx="41">
                  <c:v>-59</c:v>
                </c:pt>
                <c:pt idx="42">
                  <c:v>-58</c:v>
                </c:pt>
                <c:pt idx="43">
                  <c:v>-57</c:v>
                </c:pt>
                <c:pt idx="44">
                  <c:v>-56</c:v>
                </c:pt>
                <c:pt idx="45">
                  <c:v>-55</c:v>
                </c:pt>
                <c:pt idx="46">
                  <c:v>-54</c:v>
                </c:pt>
                <c:pt idx="47">
                  <c:v>-53</c:v>
                </c:pt>
                <c:pt idx="48">
                  <c:v>-52</c:v>
                </c:pt>
                <c:pt idx="49">
                  <c:v>-51</c:v>
                </c:pt>
                <c:pt idx="50">
                  <c:v>-50</c:v>
                </c:pt>
                <c:pt idx="51">
                  <c:v>-49</c:v>
                </c:pt>
                <c:pt idx="52">
                  <c:v>-48</c:v>
                </c:pt>
                <c:pt idx="53">
                  <c:v>-47</c:v>
                </c:pt>
                <c:pt idx="54">
                  <c:v>-46</c:v>
                </c:pt>
                <c:pt idx="55">
                  <c:v>-45</c:v>
                </c:pt>
                <c:pt idx="56">
                  <c:v>-44</c:v>
                </c:pt>
                <c:pt idx="57">
                  <c:v>-43</c:v>
                </c:pt>
                <c:pt idx="58">
                  <c:v>-42</c:v>
                </c:pt>
                <c:pt idx="59">
                  <c:v>-41</c:v>
                </c:pt>
                <c:pt idx="60">
                  <c:v>-40</c:v>
                </c:pt>
                <c:pt idx="61">
                  <c:v>-39</c:v>
                </c:pt>
                <c:pt idx="62">
                  <c:v>-38</c:v>
                </c:pt>
                <c:pt idx="63">
                  <c:v>-37</c:v>
                </c:pt>
                <c:pt idx="64">
                  <c:v>-36</c:v>
                </c:pt>
                <c:pt idx="65">
                  <c:v>-35</c:v>
                </c:pt>
                <c:pt idx="66">
                  <c:v>-34</c:v>
                </c:pt>
                <c:pt idx="67">
                  <c:v>-33</c:v>
                </c:pt>
                <c:pt idx="68">
                  <c:v>-32</c:v>
                </c:pt>
                <c:pt idx="69">
                  <c:v>-31</c:v>
                </c:pt>
                <c:pt idx="70">
                  <c:v>-30</c:v>
                </c:pt>
                <c:pt idx="71">
                  <c:v>-29</c:v>
                </c:pt>
                <c:pt idx="72">
                  <c:v>-28</c:v>
                </c:pt>
                <c:pt idx="73">
                  <c:v>-27</c:v>
                </c:pt>
                <c:pt idx="74">
                  <c:v>-26</c:v>
                </c:pt>
                <c:pt idx="75">
                  <c:v>-25</c:v>
                </c:pt>
                <c:pt idx="76">
                  <c:v>-24</c:v>
                </c:pt>
                <c:pt idx="77">
                  <c:v>-23</c:v>
                </c:pt>
                <c:pt idx="78">
                  <c:v>-22</c:v>
                </c:pt>
                <c:pt idx="79">
                  <c:v>-21</c:v>
                </c:pt>
                <c:pt idx="80">
                  <c:v>-20</c:v>
                </c:pt>
                <c:pt idx="81">
                  <c:v>-19</c:v>
                </c:pt>
                <c:pt idx="82">
                  <c:v>-18</c:v>
                </c:pt>
                <c:pt idx="83">
                  <c:v>-17</c:v>
                </c:pt>
                <c:pt idx="84">
                  <c:v>-16</c:v>
                </c:pt>
                <c:pt idx="85">
                  <c:v>-15</c:v>
                </c:pt>
                <c:pt idx="86">
                  <c:v>-14</c:v>
                </c:pt>
                <c:pt idx="87">
                  <c:v>-13</c:v>
                </c:pt>
                <c:pt idx="88">
                  <c:v>-12</c:v>
                </c:pt>
                <c:pt idx="89">
                  <c:v>-11</c:v>
                </c:pt>
                <c:pt idx="90">
                  <c:v>-10</c:v>
                </c:pt>
                <c:pt idx="91">
                  <c:v>-9</c:v>
                </c:pt>
                <c:pt idx="92">
                  <c:v>-8</c:v>
                </c:pt>
                <c:pt idx="93">
                  <c:v>-7</c:v>
                </c:pt>
                <c:pt idx="94">
                  <c:v>-6</c:v>
                </c:pt>
                <c:pt idx="95">
                  <c:v>-5</c:v>
                </c:pt>
                <c:pt idx="96">
                  <c:v>-4</c:v>
                </c:pt>
                <c:pt idx="97">
                  <c:v>-3</c:v>
                </c:pt>
                <c:pt idx="98">
                  <c:v>-2</c:v>
                </c:pt>
                <c:pt idx="99">
                  <c:v>-1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4</c:v>
                </c:pt>
                <c:pt idx="105">
                  <c:v>5</c:v>
                </c:pt>
                <c:pt idx="106">
                  <c:v>6</c:v>
                </c:pt>
                <c:pt idx="107">
                  <c:v>7</c:v>
                </c:pt>
                <c:pt idx="108">
                  <c:v>8</c:v>
                </c:pt>
                <c:pt idx="109">
                  <c:v>9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13</c:v>
                </c:pt>
                <c:pt idx="114">
                  <c:v>14</c:v>
                </c:pt>
                <c:pt idx="115">
                  <c:v>15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19</c:v>
                </c:pt>
                <c:pt idx="120">
                  <c:v>20</c:v>
                </c:pt>
                <c:pt idx="121">
                  <c:v>21</c:v>
                </c:pt>
                <c:pt idx="122">
                  <c:v>22</c:v>
                </c:pt>
                <c:pt idx="123">
                  <c:v>23</c:v>
                </c:pt>
                <c:pt idx="124">
                  <c:v>24</c:v>
                </c:pt>
                <c:pt idx="125">
                  <c:v>25</c:v>
                </c:pt>
                <c:pt idx="126">
                  <c:v>26</c:v>
                </c:pt>
                <c:pt idx="127">
                  <c:v>27</c:v>
                </c:pt>
                <c:pt idx="128">
                  <c:v>28</c:v>
                </c:pt>
                <c:pt idx="129">
                  <c:v>29</c:v>
                </c:pt>
                <c:pt idx="130">
                  <c:v>30</c:v>
                </c:pt>
                <c:pt idx="131">
                  <c:v>31</c:v>
                </c:pt>
                <c:pt idx="132">
                  <c:v>32</c:v>
                </c:pt>
                <c:pt idx="133">
                  <c:v>33</c:v>
                </c:pt>
                <c:pt idx="134">
                  <c:v>34</c:v>
                </c:pt>
                <c:pt idx="135">
                  <c:v>35</c:v>
                </c:pt>
                <c:pt idx="136">
                  <c:v>36</c:v>
                </c:pt>
                <c:pt idx="137">
                  <c:v>37</c:v>
                </c:pt>
                <c:pt idx="138">
                  <c:v>38</c:v>
                </c:pt>
                <c:pt idx="139">
                  <c:v>39</c:v>
                </c:pt>
                <c:pt idx="140">
                  <c:v>40</c:v>
                </c:pt>
                <c:pt idx="141">
                  <c:v>41</c:v>
                </c:pt>
                <c:pt idx="142">
                  <c:v>42</c:v>
                </c:pt>
                <c:pt idx="143">
                  <c:v>43</c:v>
                </c:pt>
                <c:pt idx="144">
                  <c:v>44</c:v>
                </c:pt>
                <c:pt idx="145">
                  <c:v>45</c:v>
                </c:pt>
                <c:pt idx="146">
                  <c:v>46</c:v>
                </c:pt>
                <c:pt idx="147">
                  <c:v>47</c:v>
                </c:pt>
                <c:pt idx="148">
                  <c:v>48</c:v>
                </c:pt>
                <c:pt idx="149">
                  <c:v>49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53</c:v>
                </c:pt>
                <c:pt idx="154">
                  <c:v>54</c:v>
                </c:pt>
                <c:pt idx="155">
                  <c:v>55</c:v>
                </c:pt>
                <c:pt idx="156">
                  <c:v>56</c:v>
                </c:pt>
                <c:pt idx="157">
                  <c:v>57</c:v>
                </c:pt>
                <c:pt idx="158">
                  <c:v>58</c:v>
                </c:pt>
                <c:pt idx="159">
                  <c:v>59</c:v>
                </c:pt>
                <c:pt idx="160">
                  <c:v>60</c:v>
                </c:pt>
                <c:pt idx="161">
                  <c:v>61</c:v>
                </c:pt>
                <c:pt idx="162">
                  <c:v>62</c:v>
                </c:pt>
                <c:pt idx="163">
                  <c:v>63</c:v>
                </c:pt>
                <c:pt idx="164">
                  <c:v>64</c:v>
                </c:pt>
                <c:pt idx="165">
                  <c:v>65</c:v>
                </c:pt>
                <c:pt idx="166">
                  <c:v>66</c:v>
                </c:pt>
                <c:pt idx="167">
                  <c:v>67</c:v>
                </c:pt>
                <c:pt idx="168">
                  <c:v>68</c:v>
                </c:pt>
                <c:pt idx="169">
                  <c:v>69</c:v>
                </c:pt>
                <c:pt idx="170">
                  <c:v>70</c:v>
                </c:pt>
                <c:pt idx="171">
                  <c:v>71</c:v>
                </c:pt>
                <c:pt idx="172">
                  <c:v>72</c:v>
                </c:pt>
                <c:pt idx="173">
                  <c:v>73</c:v>
                </c:pt>
                <c:pt idx="174">
                  <c:v>74</c:v>
                </c:pt>
                <c:pt idx="175">
                  <c:v>75</c:v>
                </c:pt>
                <c:pt idx="176">
                  <c:v>76</c:v>
                </c:pt>
                <c:pt idx="177">
                  <c:v>77</c:v>
                </c:pt>
                <c:pt idx="178">
                  <c:v>78</c:v>
                </c:pt>
                <c:pt idx="179">
                  <c:v>79</c:v>
                </c:pt>
                <c:pt idx="180">
                  <c:v>80</c:v>
                </c:pt>
                <c:pt idx="181">
                  <c:v>81</c:v>
                </c:pt>
                <c:pt idx="182">
                  <c:v>82</c:v>
                </c:pt>
                <c:pt idx="183">
                  <c:v>83</c:v>
                </c:pt>
                <c:pt idx="184">
                  <c:v>84</c:v>
                </c:pt>
                <c:pt idx="185">
                  <c:v>85</c:v>
                </c:pt>
                <c:pt idx="186">
                  <c:v>86</c:v>
                </c:pt>
                <c:pt idx="187">
                  <c:v>87</c:v>
                </c:pt>
                <c:pt idx="188">
                  <c:v>88</c:v>
                </c:pt>
                <c:pt idx="189">
                  <c:v>89</c:v>
                </c:pt>
                <c:pt idx="190">
                  <c:v>90</c:v>
                </c:pt>
                <c:pt idx="191">
                  <c:v>91</c:v>
                </c:pt>
                <c:pt idx="192">
                  <c:v>92</c:v>
                </c:pt>
                <c:pt idx="193">
                  <c:v>93</c:v>
                </c:pt>
                <c:pt idx="194">
                  <c:v>94</c:v>
                </c:pt>
                <c:pt idx="195">
                  <c:v>95</c:v>
                </c:pt>
                <c:pt idx="196">
                  <c:v>96</c:v>
                </c:pt>
                <c:pt idx="197">
                  <c:v>97</c:v>
                </c:pt>
                <c:pt idx="198">
                  <c:v>98</c:v>
                </c:pt>
                <c:pt idx="199">
                  <c:v>99</c:v>
                </c:pt>
                <c:pt idx="200">
                  <c:v>100</c:v>
                </c:pt>
              </c:numCache>
            </c:numRef>
          </c:xVal>
          <c:yVal>
            <c:numRef>
              <c:f>Axial!$V$2:$V$202</c:f>
              <c:numCache>
                <c:formatCode>General</c:formatCode>
                <c:ptCount val="201"/>
                <c:pt idx="0">
                  <c:v>0.64</c:v>
                </c:pt>
                <c:pt idx="1">
                  <c:v>0.64</c:v>
                </c:pt>
                <c:pt idx="2">
                  <c:v>0.64</c:v>
                </c:pt>
                <c:pt idx="3">
                  <c:v>0.64</c:v>
                </c:pt>
                <c:pt idx="4">
                  <c:v>0.64</c:v>
                </c:pt>
                <c:pt idx="5">
                  <c:v>0.64</c:v>
                </c:pt>
                <c:pt idx="6">
                  <c:v>0.64</c:v>
                </c:pt>
                <c:pt idx="7">
                  <c:v>0.64</c:v>
                </c:pt>
                <c:pt idx="8">
                  <c:v>0.64</c:v>
                </c:pt>
                <c:pt idx="9">
                  <c:v>0.64</c:v>
                </c:pt>
                <c:pt idx="10">
                  <c:v>0.64</c:v>
                </c:pt>
                <c:pt idx="11">
                  <c:v>0.64</c:v>
                </c:pt>
                <c:pt idx="12">
                  <c:v>0.64</c:v>
                </c:pt>
                <c:pt idx="13">
                  <c:v>0.64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0.64</c:v>
                </c:pt>
                <c:pt idx="18">
                  <c:v>0.64</c:v>
                </c:pt>
                <c:pt idx="19">
                  <c:v>0.64</c:v>
                </c:pt>
                <c:pt idx="20">
                  <c:v>0.64</c:v>
                </c:pt>
                <c:pt idx="21">
                  <c:v>0.64</c:v>
                </c:pt>
                <c:pt idx="22">
                  <c:v>0.64</c:v>
                </c:pt>
                <c:pt idx="23">
                  <c:v>0.64</c:v>
                </c:pt>
                <c:pt idx="24">
                  <c:v>0.64</c:v>
                </c:pt>
                <c:pt idx="25">
                  <c:v>0.64</c:v>
                </c:pt>
                <c:pt idx="26">
                  <c:v>0.64</c:v>
                </c:pt>
                <c:pt idx="27">
                  <c:v>0.64</c:v>
                </c:pt>
                <c:pt idx="28">
                  <c:v>0.64</c:v>
                </c:pt>
                <c:pt idx="29">
                  <c:v>0.64</c:v>
                </c:pt>
                <c:pt idx="30">
                  <c:v>0.64</c:v>
                </c:pt>
                <c:pt idx="31">
                  <c:v>0.64</c:v>
                </c:pt>
                <c:pt idx="32">
                  <c:v>0.64</c:v>
                </c:pt>
                <c:pt idx="33">
                  <c:v>0.64</c:v>
                </c:pt>
                <c:pt idx="34">
                  <c:v>0.64</c:v>
                </c:pt>
                <c:pt idx="35">
                  <c:v>0.64</c:v>
                </c:pt>
                <c:pt idx="36">
                  <c:v>0.64</c:v>
                </c:pt>
                <c:pt idx="37">
                  <c:v>0.64</c:v>
                </c:pt>
                <c:pt idx="38">
                  <c:v>0.64</c:v>
                </c:pt>
                <c:pt idx="39">
                  <c:v>0.64</c:v>
                </c:pt>
                <c:pt idx="40">
                  <c:v>0.64</c:v>
                </c:pt>
                <c:pt idx="41">
                  <c:v>0.64</c:v>
                </c:pt>
                <c:pt idx="42">
                  <c:v>0.64</c:v>
                </c:pt>
                <c:pt idx="43">
                  <c:v>0.64</c:v>
                </c:pt>
                <c:pt idx="44">
                  <c:v>0.64</c:v>
                </c:pt>
                <c:pt idx="45">
                  <c:v>0.64</c:v>
                </c:pt>
                <c:pt idx="46">
                  <c:v>0.64</c:v>
                </c:pt>
                <c:pt idx="47">
                  <c:v>0.64</c:v>
                </c:pt>
                <c:pt idx="48">
                  <c:v>0.64</c:v>
                </c:pt>
                <c:pt idx="49">
                  <c:v>0.64</c:v>
                </c:pt>
                <c:pt idx="50">
                  <c:v>0.64</c:v>
                </c:pt>
                <c:pt idx="51">
                  <c:v>0.64</c:v>
                </c:pt>
                <c:pt idx="52">
                  <c:v>0.64</c:v>
                </c:pt>
                <c:pt idx="53">
                  <c:v>0.64</c:v>
                </c:pt>
                <c:pt idx="54">
                  <c:v>0.64</c:v>
                </c:pt>
                <c:pt idx="55">
                  <c:v>0.64</c:v>
                </c:pt>
                <c:pt idx="56">
                  <c:v>0.64</c:v>
                </c:pt>
                <c:pt idx="57">
                  <c:v>0.64</c:v>
                </c:pt>
                <c:pt idx="58">
                  <c:v>0.64</c:v>
                </c:pt>
                <c:pt idx="59">
                  <c:v>0.64</c:v>
                </c:pt>
                <c:pt idx="60">
                  <c:v>0.64</c:v>
                </c:pt>
                <c:pt idx="61">
                  <c:v>0.64</c:v>
                </c:pt>
                <c:pt idx="62">
                  <c:v>0.64</c:v>
                </c:pt>
                <c:pt idx="63">
                  <c:v>0.64</c:v>
                </c:pt>
                <c:pt idx="64">
                  <c:v>0.64</c:v>
                </c:pt>
                <c:pt idx="65">
                  <c:v>0.64</c:v>
                </c:pt>
                <c:pt idx="66">
                  <c:v>0.64</c:v>
                </c:pt>
                <c:pt idx="67">
                  <c:v>0.64</c:v>
                </c:pt>
                <c:pt idx="68">
                  <c:v>0.64</c:v>
                </c:pt>
                <c:pt idx="69">
                  <c:v>0.64</c:v>
                </c:pt>
                <c:pt idx="70">
                  <c:v>0.64</c:v>
                </c:pt>
                <c:pt idx="71">
                  <c:v>0.64</c:v>
                </c:pt>
                <c:pt idx="72">
                  <c:v>0.64</c:v>
                </c:pt>
                <c:pt idx="73">
                  <c:v>0.64</c:v>
                </c:pt>
                <c:pt idx="74">
                  <c:v>0.64</c:v>
                </c:pt>
                <c:pt idx="75">
                  <c:v>0.64</c:v>
                </c:pt>
                <c:pt idx="76">
                  <c:v>0.64</c:v>
                </c:pt>
                <c:pt idx="77">
                  <c:v>0.64</c:v>
                </c:pt>
                <c:pt idx="78">
                  <c:v>0.64</c:v>
                </c:pt>
                <c:pt idx="79">
                  <c:v>0.64</c:v>
                </c:pt>
                <c:pt idx="80">
                  <c:v>0.64</c:v>
                </c:pt>
                <c:pt idx="81">
                  <c:v>0.64</c:v>
                </c:pt>
                <c:pt idx="82">
                  <c:v>0.64</c:v>
                </c:pt>
                <c:pt idx="83">
                  <c:v>0.64</c:v>
                </c:pt>
                <c:pt idx="84">
                  <c:v>0.64</c:v>
                </c:pt>
                <c:pt idx="85">
                  <c:v>0.64</c:v>
                </c:pt>
                <c:pt idx="86">
                  <c:v>0.64</c:v>
                </c:pt>
                <c:pt idx="87">
                  <c:v>0.64</c:v>
                </c:pt>
                <c:pt idx="88">
                  <c:v>0.64</c:v>
                </c:pt>
                <c:pt idx="89">
                  <c:v>0.64</c:v>
                </c:pt>
                <c:pt idx="90">
                  <c:v>0.64</c:v>
                </c:pt>
                <c:pt idx="91">
                  <c:v>0.64</c:v>
                </c:pt>
                <c:pt idx="92">
                  <c:v>0.64</c:v>
                </c:pt>
                <c:pt idx="93">
                  <c:v>0.64</c:v>
                </c:pt>
                <c:pt idx="94">
                  <c:v>0.64</c:v>
                </c:pt>
                <c:pt idx="95">
                  <c:v>0.64</c:v>
                </c:pt>
                <c:pt idx="96">
                  <c:v>0.64</c:v>
                </c:pt>
                <c:pt idx="97">
                  <c:v>0.64</c:v>
                </c:pt>
                <c:pt idx="98">
                  <c:v>0.64</c:v>
                </c:pt>
                <c:pt idx="99">
                  <c:v>0.64</c:v>
                </c:pt>
                <c:pt idx="100">
                  <c:v>0.64</c:v>
                </c:pt>
                <c:pt idx="101">
                  <c:v>0.64</c:v>
                </c:pt>
                <c:pt idx="102">
                  <c:v>0.64</c:v>
                </c:pt>
                <c:pt idx="103">
                  <c:v>0.64</c:v>
                </c:pt>
                <c:pt idx="104">
                  <c:v>0.64</c:v>
                </c:pt>
                <c:pt idx="105">
                  <c:v>0.64</c:v>
                </c:pt>
                <c:pt idx="106">
                  <c:v>0.64</c:v>
                </c:pt>
                <c:pt idx="107">
                  <c:v>0.64</c:v>
                </c:pt>
                <c:pt idx="108">
                  <c:v>0.64</c:v>
                </c:pt>
                <c:pt idx="109">
                  <c:v>0.64</c:v>
                </c:pt>
                <c:pt idx="110">
                  <c:v>0.64</c:v>
                </c:pt>
                <c:pt idx="111">
                  <c:v>0.64</c:v>
                </c:pt>
                <c:pt idx="112">
                  <c:v>0.64</c:v>
                </c:pt>
                <c:pt idx="113">
                  <c:v>0.64</c:v>
                </c:pt>
                <c:pt idx="114">
                  <c:v>0.64</c:v>
                </c:pt>
                <c:pt idx="115">
                  <c:v>0.64</c:v>
                </c:pt>
                <c:pt idx="116">
                  <c:v>0.64</c:v>
                </c:pt>
                <c:pt idx="117">
                  <c:v>0.64</c:v>
                </c:pt>
                <c:pt idx="118">
                  <c:v>0.64</c:v>
                </c:pt>
                <c:pt idx="119">
                  <c:v>0.64</c:v>
                </c:pt>
                <c:pt idx="120">
                  <c:v>0.64</c:v>
                </c:pt>
                <c:pt idx="121">
                  <c:v>0.64</c:v>
                </c:pt>
                <c:pt idx="122">
                  <c:v>0.64</c:v>
                </c:pt>
                <c:pt idx="123">
                  <c:v>0.64</c:v>
                </c:pt>
                <c:pt idx="124">
                  <c:v>0.64</c:v>
                </c:pt>
                <c:pt idx="125">
                  <c:v>0.64</c:v>
                </c:pt>
                <c:pt idx="126">
                  <c:v>0.64</c:v>
                </c:pt>
                <c:pt idx="127">
                  <c:v>0.64</c:v>
                </c:pt>
                <c:pt idx="128">
                  <c:v>0.64</c:v>
                </c:pt>
                <c:pt idx="129">
                  <c:v>0.64</c:v>
                </c:pt>
                <c:pt idx="130">
                  <c:v>0.64</c:v>
                </c:pt>
                <c:pt idx="131">
                  <c:v>0.64</c:v>
                </c:pt>
                <c:pt idx="132">
                  <c:v>0.64</c:v>
                </c:pt>
                <c:pt idx="133">
                  <c:v>0.64</c:v>
                </c:pt>
                <c:pt idx="134">
                  <c:v>0.64</c:v>
                </c:pt>
                <c:pt idx="135">
                  <c:v>0.64</c:v>
                </c:pt>
                <c:pt idx="136">
                  <c:v>0.64</c:v>
                </c:pt>
                <c:pt idx="137">
                  <c:v>0.64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0.64</c:v>
                </c:pt>
                <c:pt idx="143">
                  <c:v>0.64</c:v>
                </c:pt>
                <c:pt idx="144">
                  <c:v>0.64</c:v>
                </c:pt>
                <c:pt idx="145">
                  <c:v>0.64</c:v>
                </c:pt>
                <c:pt idx="146">
                  <c:v>0.64</c:v>
                </c:pt>
                <c:pt idx="147">
                  <c:v>0.64</c:v>
                </c:pt>
                <c:pt idx="148">
                  <c:v>0.64</c:v>
                </c:pt>
                <c:pt idx="149">
                  <c:v>0.64</c:v>
                </c:pt>
                <c:pt idx="150">
                  <c:v>0.64</c:v>
                </c:pt>
                <c:pt idx="151">
                  <c:v>0.64</c:v>
                </c:pt>
                <c:pt idx="152">
                  <c:v>0.64</c:v>
                </c:pt>
                <c:pt idx="153">
                  <c:v>0.64</c:v>
                </c:pt>
                <c:pt idx="154">
                  <c:v>0.64</c:v>
                </c:pt>
                <c:pt idx="155">
                  <c:v>0.64</c:v>
                </c:pt>
                <c:pt idx="156">
                  <c:v>0.64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</c:v>
                </c:pt>
                <c:pt idx="177">
                  <c:v>0.64</c:v>
                </c:pt>
                <c:pt idx="178">
                  <c:v>0.64</c:v>
                </c:pt>
                <c:pt idx="179">
                  <c:v>0.64</c:v>
                </c:pt>
                <c:pt idx="180">
                  <c:v>0.64</c:v>
                </c:pt>
                <c:pt idx="181">
                  <c:v>0.64</c:v>
                </c:pt>
                <c:pt idx="182">
                  <c:v>0.64</c:v>
                </c:pt>
                <c:pt idx="183">
                  <c:v>0.64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</c:v>
                </c:pt>
                <c:pt idx="188">
                  <c:v>0.64</c:v>
                </c:pt>
                <c:pt idx="189">
                  <c:v>0.64</c:v>
                </c:pt>
                <c:pt idx="190">
                  <c:v>0.64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C6-402F-A2B8-1E76DB1D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001008"/>
        <c:axId val="1627322672"/>
      </c:scatterChart>
      <c:valAx>
        <c:axId val="1134001008"/>
        <c:scaling>
          <c:orientation val="minMax"/>
          <c:max val="1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22672"/>
        <c:crosses val="autoZero"/>
        <c:crossBetween val="midCat"/>
        <c:majorUnit val="10"/>
      </c:valAx>
      <c:valAx>
        <c:axId val="16273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Axial B field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0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Radial</a:t>
            </a:r>
            <a:r>
              <a:rPr lang="en-US" baseline="0"/>
              <a:t> B Field (T)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Radial!$G$9</c:f>
              <c:strCache>
                <c:ptCount val="1"/>
                <c:pt idx="0">
                  <c:v>B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Radial!$F$10:$F$82</c:f>
              <c:numCache>
                <c:formatCode>General</c:formatCode>
                <c:ptCount val="7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</c:numCache>
            </c:numRef>
          </c:xVal>
          <c:yVal>
            <c:numRef>
              <c:f>Radial!$G$10:$G$82</c:f>
              <c:numCache>
                <c:formatCode>0.000</c:formatCode>
                <c:ptCount val="73"/>
                <c:pt idx="0">
                  <c:v>0</c:v>
                </c:pt>
                <c:pt idx="1">
                  <c:v>3.9603000000000007E-4</c:v>
                </c:pt>
                <c:pt idx="2">
                  <c:v>1.5841200000000003E-3</c:v>
                </c:pt>
                <c:pt idx="3">
                  <c:v>3.56427E-3</c:v>
                </c:pt>
                <c:pt idx="4">
                  <c:v>6.3364800000000011E-3</c:v>
                </c:pt>
                <c:pt idx="5">
                  <c:v>9.9007499999999998E-3</c:v>
                </c:pt>
                <c:pt idx="6">
                  <c:v>1.425708E-2</c:v>
                </c:pt>
                <c:pt idx="7">
                  <c:v>1.9405469999999998E-2</c:v>
                </c:pt>
                <c:pt idx="8">
                  <c:v>2.5345920000000004E-2</c:v>
                </c:pt>
                <c:pt idx="9">
                  <c:v>3.2078429999999998E-2</c:v>
                </c:pt>
                <c:pt idx="10">
                  <c:v>3.9602999999999999E-2</c:v>
                </c:pt>
                <c:pt idx="11">
                  <c:v>4.7919630000000012E-2</c:v>
                </c:pt>
                <c:pt idx="12">
                  <c:v>5.702832E-2</c:v>
                </c:pt>
                <c:pt idx="13">
                  <c:v>6.6929070000000007E-2</c:v>
                </c:pt>
                <c:pt idx="14">
                  <c:v>7.762187999999999E-2</c:v>
                </c:pt>
                <c:pt idx="15">
                  <c:v>8.9106749999999998E-2</c:v>
                </c:pt>
                <c:pt idx="16">
                  <c:v>0.10138368000000002</c:v>
                </c:pt>
                <c:pt idx="17">
                  <c:v>0.11445267000000001</c:v>
                </c:pt>
                <c:pt idx="18">
                  <c:v>0.12831371999999999</c:v>
                </c:pt>
                <c:pt idx="19">
                  <c:v>0.14296682999999999</c:v>
                </c:pt>
                <c:pt idx="20">
                  <c:v>0.158412</c:v>
                </c:pt>
                <c:pt idx="21">
                  <c:v>0.17464923000000002</c:v>
                </c:pt>
                <c:pt idx="22">
                  <c:v>0.19167852000000005</c:v>
                </c:pt>
                <c:pt idx="23">
                  <c:v>0.20949986999999998</c:v>
                </c:pt>
                <c:pt idx="24">
                  <c:v>0.22811328</c:v>
                </c:pt>
                <c:pt idx="25">
                  <c:v>0.24751875000000004</c:v>
                </c:pt>
                <c:pt idx="26">
                  <c:v>0.26771628000000003</c:v>
                </c:pt>
                <c:pt idx="27">
                  <c:v>0.28870587000000009</c:v>
                </c:pt>
                <c:pt idx="28">
                  <c:v>0.31048751999999996</c:v>
                </c:pt>
                <c:pt idx="29">
                  <c:v>0.33306122999999999</c:v>
                </c:pt>
                <c:pt idx="30">
                  <c:v>0.35642699999999999</c:v>
                </c:pt>
                <c:pt idx="31">
                  <c:v>0.38058482999999999</c:v>
                </c:pt>
                <c:pt idx="32">
                  <c:v>0.40553472000000007</c:v>
                </c:pt>
                <c:pt idx="33">
                  <c:v>0.43127667000000003</c:v>
                </c:pt>
                <c:pt idx="34">
                  <c:v>0.45781068000000003</c:v>
                </c:pt>
                <c:pt idx="35">
                  <c:v>0.48513675000000001</c:v>
                </c:pt>
                <c:pt idx="36">
                  <c:v>0.51325487999999997</c:v>
                </c:pt>
                <c:pt idx="37">
                  <c:v>0.54216507000000003</c:v>
                </c:pt>
                <c:pt idx="38">
                  <c:v>0.57186731999999996</c:v>
                </c:pt>
                <c:pt idx="39">
                  <c:v>0.60236163000000009</c:v>
                </c:pt>
                <c:pt idx="40">
                  <c:v>0.63364799999999999</c:v>
                </c:pt>
                <c:pt idx="41">
                  <c:v>0.66572642999999987</c:v>
                </c:pt>
                <c:pt idx="42">
                  <c:v>0.69859692000000007</c:v>
                </c:pt>
                <c:pt idx="43">
                  <c:v>0.73225947000000002</c:v>
                </c:pt>
                <c:pt idx="44">
                  <c:v>0.76671408000000019</c:v>
                </c:pt>
                <c:pt idx="45">
                  <c:v>0.80196075000000011</c:v>
                </c:pt>
                <c:pt idx="46">
                  <c:v>0.83799947999999991</c:v>
                </c:pt>
                <c:pt idx="47">
                  <c:v>0.87483027000000002</c:v>
                </c:pt>
                <c:pt idx="48">
                  <c:v>0.91245312000000001</c:v>
                </c:pt>
                <c:pt idx="49">
                  <c:v>0.9508680300000002</c:v>
                </c:pt>
                <c:pt idx="50">
                  <c:v>0.99007500000000015</c:v>
                </c:pt>
                <c:pt idx="51">
                  <c:v>1.03007403</c:v>
                </c:pt>
                <c:pt idx="52">
                  <c:v>1.0708651200000001</c:v>
                </c:pt>
                <c:pt idx="53">
                  <c:v>1.11244827</c:v>
                </c:pt>
                <c:pt idx="54">
                  <c:v>1.1548234800000003</c:v>
                </c:pt>
                <c:pt idx="55">
                  <c:v>1.19799075</c:v>
                </c:pt>
                <c:pt idx="56">
                  <c:v>1.2419500799999998</c:v>
                </c:pt>
                <c:pt idx="57">
                  <c:v>1.2867014700000001</c:v>
                </c:pt>
                <c:pt idx="58">
                  <c:v>1.3322449199999999</c:v>
                </c:pt>
                <c:pt idx="59">
                  <c:v>1.3785804300000002</c:v>
                </c:pt>
                <c:pt idx="60">
                  <c:v>1.425708</c:v>
                </c:pt>
                <c:pt idx="61">
                  <c:v>1.4736276299999997</c:v>
                </c:pt>
                <c:pt idx="62">
                  <c:v>1.5223393199999999</c:v>
                </c:pt>
                <c:pt idx="63">
                  <c:v>1.5718430700000001</c:v>
                </c:pt>
                <c:pt idx="64">
                  <c:v>1.6221388800000003</c:v>
                </c:pt>
                <c:pt idx="65">
                  <c:v>1.6732267500000002</c:v>
                </c:pt>
                <c:pt idx="66">
                  <c:v>1.7251066800000001</c:v>
                </c:pt>
                <c:pt idx="67">
                  <c:v>1.7777786700000002</c:v>
                </c:pt>
                <c:pt idx="68">
                  <c:v>1.8312427200000001</c:v>
                </c:pt>
                <c:pt idx="69">
                  <c:v>1.8854988300000002</c:v>
                </c:pt>
                <c:pt idx="70">
                  <c:v>1.940547</c:v>
                </c:pt>
                <c:pt idx="71">
                  <c:v>1.9963872299999998</c:v>
                </c:pt>
                <c:pt idx="72">
                  <c:v>2.0530195199999999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AC-4E5C-8F2E-727827F7F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010752"/>
        <c:axId val="1627276112"/>
      </c:scatterChart>
      <c:valAx>
        <c:axId val="1134010752"/>
        <c:scaling>
          <c:orientation val="minMax"/>
          <c:max val="7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Radial 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76112"/>
        <c:crosses val="autoZero"/>
        <c:crossBetween val="midCat"/>
      </c:valAx>
      <c:valAx>
        <c:axId val="16272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Radial B Field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1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16</xdr:row>
      <xdr:rowOff>104774</xdr:rowOff>
    </xdr:from>
    <xdr:to>
      <xdr:col>14</xdr:col>
      <xdr:colOff>238124</xdr:colOff>
      <xdr:row>34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DAFC95-6708-AA8B-E57B-2A2F4BDA7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442912</xdr:colOff>
      <xdr:row>2</xdr:row>
      <xdr:rowOff>171450</xdr:rowOff>
    </xdr:from>
    <xdr:to>
      <xdr:col>15</xdr:col>
      <xdr:colOff>138112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ABCAA-C8F4-9878-FD52-971CED540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1984-174D-410B-A0D8-D23074CC6454}">
  <dimension ref="A1:Z1000"/>
  <sheetViews>
    <sheetView topLeftCell="B1" workbookViewId="0">
      <selection activeCell="M11" sqref="M11"/>
    </sheetView>
  </sheetViews>
  <sheetFormatPr defaultRowHeight="15" x14ac:dyDescent="0.25"/>
  <cols>
    <col min="1" max="1" width="14.42578125" style="7" customWidth="1"/>
    <col min="2" max="2" width="9.28515625" style="7" bestFit="1" customWidth="1"/>
    <col min="3" max="3" width="11.5703125" style="7" bestFit="1" customWidth="1"/>
    <col min="4" max="4" width="12.140625" style="7" bestFit="1" customWidth="1"/>
    <col min="5" max="5" width="11.5703125" style="7" bestFit="1" customWidth="1"/>
    <col min="6" max="6" width="12.140625" style="7" bestFit="1" customWidth="1"/>
    <col min="7" max="7" width="11.5703125" style="7" bestFit="1" customWidth="1"/>
    <col min="8" max="8" width="9.28515625" style="7" bestFit="1" customWidth="1"/>
    <col min="9" max="9" width="11.5703125" style="19" bestFit="1" customWidth="1"/>
    <col min="10" max="10" width="22.5703125" style="7" customWidth="1"/>
    <col min="11" max="11" width="11.5703125" style="7" bestFit="1" customWidth="1"/>
    <col min="12" max="12" width="9.140625" style="7"/>
    <col min="13" max="13" width="9.28515625" style="7" bestFit="1" customWidth="1"/>
    <col min="14" max="14" width="9.28515625" style="15" bestFit="1" customWidth="1"/>
    <col min="15" max="15" width="11.5703125" style="15" bestFit="1" customWidth="1"/>
    <col min="16" max="16" width="12.140625" style="15" bestFit="1" customWidth="1"/>
    <col min="17" max="17" width="11.5703125" style="15" bestFit="1" customWidth="1"/>
    <col min="18" max="18" width="12.140625" style="15" bestFit="1" customWidth="1"/>
    <col min="19" max="19" width="11.5703125" style="15" bestFit="1" customWidth="1"/>
    <col min="20" max="21" width="9.140625" style="7"/>
    <col min="22" max="23" width="9.28515625" style="7" bestFit="1" customWidth="1"/>
    <col min="24" max="16384" width="9.140625" style="7"/>
  </cols>
  <sheetData>
    <row r="1" spans="1:26" x14ac:dyDescent="0.25">
      <c r="A1" s="2" t="s">
        <v>12</v>
      </c>
      <c r="B1" s="3"/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5" t="s">
        <v>19</v>
      </c>
      <c r="J1" s="3"/>
      <c r="K1" s="3"/>
      <c r="L1" s="3"/>
      <c r="M1" s="3"/>
      <c r="N1" s="6" t="s">
        <v>0</v>
      </c>
      <c r="O1" s="6" t="s">
        <v>1</v>
      </c>
      <c r="P1" s="6" t="s">
        <v>2</v>
      </c>
      <c r="Q1" s="6" t="s">
        <v>3</v>
      </c>
      <c r="R1" s="6" t="s">
        <v>4</v>
      </c>
      <c r="S1" s="1" t="s">
        <v>5</v>
      </c>
      <c r="T1" s="3"/>
      <c r="U1" s="3"/>
      <c r="V1" s="3" t="s">
        <v>25</v>
      </c>
      <c r="W1" s="3" t="s">
        <v>26</v>
      </c>
      <c r="X1" s="3"/>
      <c r="Y1" s="3"/>
      <c r="Z1" s="3"/>
    </row>
    <row r="2" spans="1:26" x14ac:dyDescent="0.25">
      <c r="A2" s="8" t="s">
        <v>8</v>
      </c>
      <c r="B2" s="8"/>
      <c r="C2" s="9">
        <f>($B$3/185)*O2</f>
        <v>18.431106840054053</v>
      </c>
      <c r="D2" s="9">
        <f>($B$4/(-146))*P2</f>
        <v>-0.94824268109589038</v>
      </c>
      <c r="E2" s="9">
        <f>($B$5/152)*Q2</f>
        <v>0.72403237485526317</v>
      </c>
      <c r="F2" s="9">
        <f>R2</f>
        <v>5.6564943140000002E-4</v>
      </c>
      <c r="G2" s="9">
        <f>SUM(C2:F2)</f>
        <v>18.207462183244825</v>
      </c>
      <c r="H2" s="10">
        <v>-100</v>
      </c>
      <c r="I2" s="11">
        <f>G2/10000</f>
        <v>1.8207462183244824E-3</v>
      </c>
      <c r="J2" s="3"/>
      <c r="K2" s="3"/>
      <c r="L2" s="3"/>
      <c r="M2" s="3"/>
      <c r="N2" s="6" t="s">
        <v>6</v>
      </c>
      <c r="O2" s="12">
        <v>28.653401389999999</v>
      </c>
      <c r="P2" s="12">
        <v>-1.730542893</v>
      </c>
      <c r="Q2" s="12">
        <v>1.209372758</v>
      </c>
      <c r="R2" s="12">
        <v>5.6564943140000002E-4</v>
      </c>
      <c r="S2" s="12">
        <v>28.132796899999999</v>
      </c>
      <c r="T2" s="3"/>
      <c r="U2" s="3"/>
      <c r="V2" s="9">
        <v>0.64</v>
      </c>
      <c r="W2" s="9">
        <v>1</v>
      </c>
      <c r="X2" s="3"/>
      <c r="Y2" s="3"/>
      <c r="Z2" s="3"/>
    </row>
    <row r="3" spans="1:26" x14ac:dyDescent="0.25">
      <c r="A3" s="13" t="s">
        <v>9</v>
      </c>
      <c r="B3" s="14">
        <v>119</v>
      </c>
      <c r="C3" s="9">
        <f t="shared" ref="C3:C66" si="0">($B$3/185)*O3</f>
        <v>20.238590031081081</v>
      </c>
      <c r="D3" s="9">
        <f t="shared" ref="D3:D66" si="1">($B$4/(-146))*P3</f>
        <v>-1.0384944383561643</v>
      </c>
      <c r="E3" s="9">
        <f t="shared" ref="E3:E66" si="2">($B$5/152)*Q3</f>
        <v>0.78647823201315792</v>
      </c>
      <c r="F3" s="9">
        <f t="shared" ref="F3:F66" si="3">R3</f>
        <v>6.0526599020000002E-4</v>
      </c>
      <c r="G3" s="9">
        <f t="shared" ref="G3:G66" si="4">SUM(C3:F3)</f>
        <v>19.987179090728276</v>
      </c>
      <c r="H3" s="10">
        <v>-99</v>
      </c>
      <c r="I3" s="11">
        <f t="shared" ref="I3:I66" si="5">G3/10000</f>
        <v>1.9987179090728275E-3</v>
      </c>
      <c r="J3" s="3"/>
      <c r="K3" s="3"/>
      <c r="L3" s="3"/>
      <c r="M3" s="3"/>
      <c r="N3" s="6"/>
      <c r="O3" s="12">
        <v>31.463354249999998</v>
      </c>
      <c r="P3" s="12">
        <v>-1.89525235</v>
      </c>
      <c r="Q3" s="12">
        <v>1.313677926</v>
      </c>
      <c r="R3" s="12">
        <v>6.0526599020000002E-4</v>
      </c>
      <c r="S3" s="12">
        <v>30.88238509</v>
      </c>
      <c r="T3" s="3"/>
      <c r="U3" s="3"/>
      <c r="V3" s="9">
        <v>0.64</v>
      </c>
      <c r="W3" s="9">
        <v>1</v>
      </c>
      <c r="X3" s="3"/>
      <c r="Y3" s="3"/>
      <c r="Z3" s="3"/>
    </row>
    <row r="4" spans="1:26" x14ac:dyDescent="0.25">
      <c r="A4" s="13" t="s">
        <v>10</v>
      </c>
      <c r="B4" s="14">
        <v>-80</v>
      </c>
      <c r="C4" s="9">
        <f t="shared" si="0"/>
        <v>22.046073228540539</v>
      </c>
      <c r="D4" s="9">
        <f t="shared" si="1"/>
        <v>-1.1287461961643837</v>
      </c>
      <c r="E4" s="9">
        <f t="shared" si="2"/>
        <v>0.84892408917105266</v>
      </c>
      <c r="F4" s="9">
        <f t="shared" si="3"/>
        <v>6.4488254900000003E-4</v>
      </c>
      <c r="G4" s="9">
        <f t="shared" si="4"/>
        <v>21.766896004096211</v>
      </c>
      <c r="H4" s="10">
        <v>-98</v>
      </c>
      <c r="I4" s="11">
        <f t="shared" si="5"/>
        <v>2.1766896004096212E-3</v>
      </c>
      <c r="J4" s="3"/>
      <c r="K4" s="3"/>
      <c r="L4" s="3"/>
      <c r="M4" s="3"/>
      <c r="N4" s="6"/>
      <c r="O4" s="12">
        <v>34.273307119999998</v>
      </c>
      <c r="P4" s="12">
        <v>-2.0599618080000002</v>
      </c>
      <c r="Q4" s="12">
        <v>1.417983094</v>
      </c>
      <c r="R4" s="12">
        <v>6.4488254900000003E-4</v>
      </c>
      <c r="S4" s="12">
        <v>33.631973289999998</v>
      </c>
      <c r="T4" s="3"/>
      <c r="U4" s="3"/>
      <c r="V4" s="9">
        <v>0.64</v>
      </c>
      <c r="W4" s="9">
        <v>1</v>
      </c>
      <c r="X4" s="3"/>
      <c r="Y4" s="3"/>
      <c r="Z4" s="3"/>
    </row>
    <row r="5" spans="1:26" x14ac:dyDescent="0.25">
      <c r="A5" s="13" t="s">
        <v>11</v>
      </c>
      <c r="B5" s="14">
        <v>91</v>
      </c>
      <c r="C5" s="9">
        <f t="shared" si="0"/>
        <v>23.853556419567568</v>
      </c>
      <c r="D5" s="9">
        <f t="shared" si="1"/>
        <v>-1.2189979534246576</v>
      </c>
      <c r="E5" s="9">
        <f t="shared" si="2"/>
        <v>0.91136994692763162</v>
      </c>
      <c r="F5" s="9">
        <f t="shared" si="3"/>
        <v>6.8449910780000003E-4</v>
      </c>
      <c r="G5" s="9">
        <f t="shared" si="4"/>
        <v>23.54661291217834</v>
      </c>
      <c r="H5" s="10">
        <v>-97</v>
      </c>
      <c r="I5" s="11">
        <f t="shared" si="5"/>
        <v>2.3546612912178338E-3</v>
      </c>
      <c r="J5" s="3"/>
      <c r="K5" s="3"/>
      <c r="L5" s="3"/>
      <c r="O5" s="12">
        <v>37.083259980000001</v>
      </c>
      <c r="P5" s="12">
        <v>-2.224671265</v>
      </c>
      <c r="Q5" s="12">
        <v>1.5222882630000001</v>
      </c>
      <c r="R5" s="12">
        <v>6.8449910780000003E-4</v>
      </c>
      <c r="S5" s="12">
        <v>36.381561480000002</v>
      </c>
      <c r="T5" s="3"/>
      <c r="U5" s="3"/>
      <c r="V5" s="9">
        <v>0.64</v>
      </c>
      <c r="W5" s="9">
        <v>1</v>
      </c>
      <c r="X5" s="3"/>
      <c r="Y5" s="3"/>
      <c r="Z5" s="3"/>
    </row>
    <row r="6" spans="1:26" x14ac:dyDescent="0.25">
      <c r="A6" s="3"/>
      <c r="B6" s="3"/>
      <c r="C6" s="9">
        <f t="shared" si="0"/>
        <v>25.661039617027026</v>
      </c>
      <c r="D6" s="9">
        <f t="shared" si="1"/>
        <v>-1.3092497112328767</v>
      </c>
      <c r="E6" s="9">
        <f t="shared" si="2"/>
        <v>0.97381580408552637</v>
      </c>
      <c r="F6" s="9">
        <f t="shared" si="3"/>
        <v>7.2411566660000003E-4</v>
      </c>
      <c r="G6" s="9">
        <f t="shared" si="4"/>
        <v>25.326329825546274</v>
      </c>
      <c r="H6" s="10">
        <v>-96</v>
      </c>
      <c r="I6" s="11">
        <f t="shared" si="5"/>
        <v>2.5326329825546274E-3</v>
      </c>
      <c r="J6" s="16" t="s">
        <v>21</v>
      </c>
      <c r="K6" s="17">
        <f>MAX(I2:I102)</f>
        <v>2.2040516902333045</v>
      </c>
      <c r="L6" s="16" t="s">
        <v>22</v>
      </c>
      <c r="O6" s="12">
        <v>39.893212849999998</v>
      </c>
      <c r="P6" s="12">
        <v>-2.3893807229999999</v>
      </c>
      <c r="Q6" s="12">
        <v>1.6265934310000001</v>
      </c>
      <c r="R6" s="12">
        <v>7.2411566660000003E-4</v>
      </c>
      <c r="S6" s="12">
        <v>39.131149669999999</v>
      </c>
      <c r="T6" s="3"/>
      <c r="U6" s="3"/>
      <c r="V6" s="9">
        <v>0.64</v>
      </c>
      <c r="W6" s="9">
        <v>1</v>
      </c>
      <c r="X6" s="3"/>
      <c r="Y6" s="3"/>
      <c r="Z6" s="3"/>
    </row>
    <row r="7" spans="1:26" x14ac:dyDescent="0.25">
      <c r="A7" s="3"/>
      <c r="B7" s="3"/>
      <c r="C7" s="9">
        <f t="shared" si="0"/>
        <v>27.468522814486487</v>
      </c>
      <c r="D7" s="9">
        <f t="shared" si="1"/>
        <v>-1.3995014690410956</v>
      </c>
      <c r="E7" s="9">
        <f t="shared" si="2"/>
        <v>1.0362616612434212</v>
      </c>
      <c r="F7" s="9">
        <f t="shared" si="3"/>
        <v>7.6373222540000003E-4</v>
      </c>
      <c r="G7" s="9">
        <f t="shared" si="4"/>
        <v>27.106046738914216</v>
      </c>
      <c r="H7" s="10">
        <v>-95</v>
      </c>
      <c r="I7" s="11">
        <f t="shared" si="5"/>
        <v>2.7106046738914215E-3</v>
      </c>
      <c r="J7" s="16" t="s">
        <v>23</v>
      </c>
      <c r="K7" s="17">
        <f>MAX(I103:I202)</f>
        <v>1.3065882227262757</v>
      </c>
      <c r="L7" s="16" t="s">
        <v>22</v>
      </c>
      <c r="O7" s="12">
        <v>42.703165720000001</v>
      </c>
      <c r="P7" s="12">
        <v>-2.5540901809999998</v>
      </c>
      <c r="Q7" s="12">
        <v>1.7308985990000001</v>
      </c>
      <c r="R7" s="12">
        <v>7.6373222540000003E-4</v>
      </c>
      <c r="S7" s="12">
        <v>41.880737869999997</v>
      </c>
      <c r="T7" s="3"/>
      <c r="U7" s="3"/>
      <c r="V7" s="9">
        <v>0.64</v>
      </c>
      <c r="W7" s="9">
        <v>1</v>
      </c>
      <c r="X7" s="3"/>
      <c r="Y7" s="3"/>
      <c r="Z7" s="3"/>
    </row>
    <row r="8" spans="1:26" x14ac:dyDescent="0.25">
      <c r="A8" s="3"/>
      <c r="B8" s="3"/>
      <c r="C8" s="9">
        <f t="shared" si="0"/>
        <v>29.276006005513512</v>
      </c>
      <c r="D8" s="9">
        <f t="shared" si="1"/>
        <v>-1.4897532263013697</v>
      </c>
      <c r="E8" s="9">
        <f t="shared" si="2"/>
        <v>1.098707519</v>
      </c>
      <c r="F8" s="9">
        <f t="shared" si="3"/>
        <v>8.0334878420000003E-4</v>
      </c>
      <c r="G8" s="9">
        <f t="shared" si="4"/>
        <v>28.885763646996342</v>
      </c>
      <c r="H8" s="10">
        <v>-94</v>
      </c>
      <c r="I8" s="11">
        <f t="shared" si="5"/>
        <v>2.8885763646996341E-3</v>
      </c>
      <c r="J8" s="16" t="s">
        <v>24</v>
      </c>
      <c r="K8" s="17">
        <f>MIN(I71:I140)</f>
        <v>0.37486932390748023</v>
      </c>
      <c r="L8" s="16" t="s">
        <v>22</v>
      </c>
      <c r="O8" s="12">
        <v>45.513118579999997</v>
      </c>
      <c r="P8" s="12">
        <v>-2.7187996380000001</v>
      </c>
      <c r="Q8" s="12">
        <v>1.835203768</v>
      </c>
      <c r="R8" s="12">
        <v>8.0334878420000003E-4</v>
      </c>
      <c r="S8" s="12">
        <v>44.630326060000002</v>
      </c>
      <c r="T8" s="3"/>
      <c r="U8" s="3"/>
      <c r="V8" s="9">
        <v>0.64</v>
      </c>
      <c r="W8" s="9">
        <v>1</v>
      </c>
      <c r="X8" s="3"/>
      <c r="Y8" s="3"/>
      <c r="Z8" s="3"/>
    </row>
    <row r="9" spans="1:26" x14ac:dyDescent="0.25">
      <c r="A9" s="3"/>
      <c r="B9" s="3"/>
      <c r="C9" s="9">
        <f t="shared" si="0"/>
        <v>31.083489202972974</v>
      </c>
      <c r="D9" s="9">
        <f t="shared" si="1"/>
        <v>-1.5800049841095889</v>
      </c>
      <c r="E9" s="9">
        <f t="shared" si="2"/>
        <v>1.1611533761578947</v>
      </c>
      <c r="F9" s="9">
        <f t="shared" si="3"/>
        <v>8.4296534300000003E-4</v>
      </c>
      <c r="G9" s="9">
        <f t="shared" si="4"/>
        <v>30.66548056036428</v>
      </c>
      <c r="H9" s="10">
        <v>-93</v>
      </c>
      <c r="I9" s="11">
        <f t="shared" si="5"/>
        <v>3.0665480560364282E-3</v>
      </c>
      <c r="J9" s="3"/>
      <c r="K9" s="3"/>
      <c r="L9" s="3"/>
      <c r="M9" s="3"/>
      <c r="N9" s="6"/>
      <c r="O9" s="12">
        <v>48.32307145</v>
      </c>
      <c r="P9" s="12">
        <v>-2.883509096</v>
      </c>
      <c r="Q9" s="12">
        <v>1.939508936</v>
      </c>
      <c r="R9" s="12">
        <v>8.4296534300000003E-4</v>
      </c>
      <c r="S9" s="12">
        <v>47.37991426</v>
      </c>
      <c r="T9" s="3"/>
      <c r="U9" s="3"/>
      <c r="V9" s="9">
        <v>0.64</v>
      </c>
      <c r="W9" s="9">
        <v>1</v>
      </c>
      <c r="X9" s="3"/>
      <c r="Y9" s="3"/>
      <c r="Z9" s="3"/>
    </row>
    <row r="10" spans="1:26" x14ac:dyDescent="0.25">
      <c r="A10" s="3"/>
      <c r="B10" s="3"/>
      <c r="C10" s="9">
        <f t="shared" si="0"/>
        <v>32.890972400432432</v>
      </c>
      <c r="D10" s="9">
        <f t="shared" si="1"/>
        <v>-1.6702567413698628</v>
      </c>
      <c r="E10" s="9">
        <f t="shared" si="2"/>
        <v>1.2235992339144737</v>
      </c>
      <c r="F10" s="9">
        <f t="shared" si="3"/>
        <v>8.8258190180000003E-4</v>
      </c>
      <c r="G10" s="9">
        <f t="shared" si="4"/>
        <v>32.445197474878846</v>
      </c>
      <c r="H10" s="10">
        <v>-92</v>
      </c>
      <c r="I10" s="11">
        <f t="shared" si="5"/>
        <v>3.2445197474878845E-3</v>
      </c>
      <c r="J10" s="3"/>
      <c r="K10" s="3"/>
      <c r="L10" s="3"/>
      <c r="M10" s="3"/>
      <c r="N10" s="6"/>
      <c r="O10" s="12">
        <v>51.133024319999997</v>
      </c>
      <c r="P10" s="12">
        <v>-3.0482185529999999</v>
      </c>
      <c r="Q10" s="12">
        <v>2.043814105</v>
      </c>
      <c r="R10" s="12">
        <v>8.8258190180000003E-4</v>
      </c>
      <c r="S10" s="12">
        <v>50.129502449999997</v>
      </c>
      <c r="T10" s="3"/>
      <c r="U10" s="3"/>
      <c r="V10" s="9">
        <v>0.64</v>
      </c>
      <c r="W10" s="9">
        <v>1</v>
      </c>
      <c r="X10" s="3"/>
      <c r="Y10" s="3"/>
      <c r="Z10" s="3"/>
    </row>
    <row r="11" spans="1:26" x14ac:dyDescent="0.25">
      <c r="A11" s="3"/>
      <c r="B11" s="3"/>
      <c r="C11" s="9">
        <f t="shared" si="0"/>
        <v>35.370104803675673</v>
      </c>
      <c r="D11" s="9">
        <f t="shared" si="1"/>
        <v>-1.7947825030136986</v>
      </c>
      <c r="E11" s="9">
        <f t="shared" si="2"/>
        <v>1.3090910027171052</v>
      </c>
      <c r="F11" s="9">
        <f t="shared" si="3"/>
        <v>9.0366327360000005E-4</v>
      </c>
      <c r="G11" s="9">
        <f t="shared" si="4"/>
        <v>34.885316966652674</v>
      </c>
      <c r="H11" s="10">
        <v>-91</v>
      </c>
      <c r="I11" s="11">
        <f t="shared" si="5"/>
        <v>3.4885316966652676E-3</v>
      </c>
      <c r="J11" s="3"/>
      <c r="K11" s="3"/>
      <c r="L11" s="3"/>
      <c r="M11" s="3"/>
      <c r="N11" s="6"/>
      <c r="O11" s="12">
        <v>54.98713772</v>
      </c>
      <c r="P11" s="12">
        <v>-3.275478068</v>
      </c>
      <c r="Q11" s="12">
        <v>2.186613543</v>
      </c>
      <c r="R11" s="12">
        <v>9.0366327360000005E-4</v>
      </c>
      <c r="S11" s="12">
        <v>53.899176859999997</v>
      </c>
      <c r="T11" s="3"/>
      <c r="U11" s="3"/>
      <c r="V11" s="9">
        <v>0.64</v>
      </c>
      <c r="W11" s="9">
        <v>1</v>
      </c>
      <c r="X11" s="3"/>
      <c r="Y11" s="3"/>
      <c r="Z11" s="3"/>
    </row>
    <row r="12" spans="1:26" x14ac:dyDescent="0.25">
      <c r="A12" s="3"/>
      <c r="B12" s="3"/>
      <c r="C12" s="9">
        <f t="shared" si="0"/>
        <v>40.271727173243242</v>
      </c>
      <c r="D12" s="9">
        <f t="shared" si="1"/>
        <v>-2.0429270076712327</v>
      </c>
      <c r="E12" s="9">
        <f t="shared" si="2"/>
        <v>1.477704270506579</v>
      </c>
      <c r="F12" s="9">
        <f t="shared" si="3"/>
        <v>8.5789233039999997E-4</v>
      </c>
      <c r="G12" s="9">
        <f t="shared" si="4"/>
        <v>39.70736232840899</v>
      </c>
      <c r="H12" s="10">
        <v>-90</v>
      </c>
      <c r="I12" s="11">
        <f t="shared" si="5"/>
        <v>3.9707362328408992E-3</v>
      </c>
      <c r="J12" s="3"/>
      <c r="K12" s="3" t="s">
        <v>20</v>
      </c>
      <c r="L12" s="3" t="s">
        <v>7</v>
      </c>
      <c r="M12" s="3"/>
      <c r="N12" s="6"/>
      <c r="O12" s="12">
        <v>62.607306950000002</v>
      </c>
      <c r="P12" s="12">
        <v>-3.7283417889999999</v>
      </c>
      <c r="Q12" s="12">
        <v>2.468253287</v>
      </c>
      <c r="R12" s="12">
        <v>8.5789233039999997E-4</v>
      </c>
      <c r="S12" s="12">
        <v>61.348076339999999</v>
      </c>
      <c r="T12" s="3"/>
      <c r="U12" s="3"/>
      <c r="V12" s="9">
        <v>0.64</v>
      </c>
      <c r="W12" s="9">
        <v>1</v>
      </c>
      <c r="X12" s="3"/>
      <c r="Y12" s="3"/>
      <c r="Z12" s="3"/>
    </row>
    <row r="13" spans="1:26" x14ac:dyDescent="0.25">
      <c r="A13" s="3"/>
      <c r="B13" s="3"/>
      <c r="C13" s="9">
        <f t="shared" si="0"/>
        <v>45.173349549243248</v>
      </c>
      <c r="D13" s="9">
        <f t="shared" si="1"/>
        <v>-2.291071512328767</v>
      </c>
      <c r="E13" s="9">
        <f t="shared" si="2"/>
        <v>1.6463175382960527</v>
      </c>
      <c r="F13" s="9">
        <f t="shared" si="3"/>
        <v>8.1212138719999999E-4</v>
      </c>
      <c r="G13" s="9">
        <f t="shared" si="4"/>
        <v>44.52940769659773</v>
      </c>
      <c r="H13" s="10">
        <v>-89</v>
      </c>
      <c r="I13" s="11">
        <f t="shared" si="5"/>
        <v>4.4529407696597733E-3</v>
      </c>
      <c r="J13" s="3"/>
      <c r="K13" s="20">
        <f>K6/0.643</f>
        <v>3.4277631263348436</v>
      </c>
      <c r="L13" s="20">
        <f>K6</f>
        <v>2.2040516902333045</v>
      </c>
      <c r="M13" s="3"/>
      <c r="N13" s="6"/>
      <c r="O13" s="12">
        <v>70.227476190000004</v>
      </c>
      <c r="P13" s="12">
        <v>-4.1812055099999998</v>
      </c>
      <c r="Q13" s="12">
        <v>2.749893031</v>
      </c>
      <c r="R13" s="12">
        <v>8.1212138719999999E-4</v>
      </c>
      <c r="S13" s="12">
        <v>68.796975829999994</v>
      </c>
      <c r="T13" s="3"/>
      <c r="U13" s="3"/>
      <c r="V13" s="9">
        <v>0.64</v>
      </c>
      <c r="W13" s="9">
        <v>1</v>
      </c>
      <c r="X13" s="3"/>
      <c r="Y13" s="3"/>
      <c r="Z13" s="3"/>
    </row>
    <row r="14" spans="1:26" x14ac:dyDescent="0.25">
      <c r="A14" s="3"/>
      <c r="B14" s="3"/>
      <c r="C14" s="9">
        <f t="shared" si="0"/>
        <v>50.07497191881081</v>
      </c>
      <c r="D14" s="9">
        <f t="shared" si="1"/>
        <v>-2.539216016986301</v>
      </c>
      <c r="E14" s="9">
        <f t="shared" si="2"/>
        <v>1.8149308060855265</v>
      </c>
      <c r="F14" s="9">
        <f t="shared" si="3"/>
        <v>7.6635044400000002E-4</v>
      </c>
      <c r="G14" s="9">
        <f t="shared" si="4"/>
        <v>49.351453058354039</v>
      </c>
      <c r="H14" s="10">
        <v>-88</v>
      </c>
      <c r="I14" s="11">
        <f t="shared" si="5"/>
        <v>4.935145305835404E-3</v>
      </c>
      <c r="J14" s="3"/>
      <c r="K14" s="20">
        <f t="shared" ref="K14:K15" si="6">K7/0.643</f>
        <v>2.0320190089055608</v>
      </c>
      <c r="L14" s="20">
        <f>K7</f>
        <v>1.3065882227262757</v>
      </c>
      <c r="M14" s="3"/>
      <c r="N14" s="6"/>
      <c r="O14" s="12">
        <v>77.847645420000006</v>
      </c>
      <c r="P14" s="12">
        <v>-4.6340692309999998</v>
      </c>
      <c r="Q14" s="12">
        <v>3.0315327750000001</v>
      </c>
      <c r="R14" s="12">
        <v>7.6635044400000002E-4</v>
      </c>
      <c r="S14" s="12">
        <v>76.245875319999996</v>
      </c>
      <c r="T14" s="3"/>
      <c r="U14" s="3"/>
      <c r="V14" s="9">
        <v>0.64</v>
      </c>
      <c r="W14" s="9">
        <v>1</v>
      </c>
      <c r="X14" s="3"/>
      <c r="Y14" s="3"/>
      <c r="Z14" s="3"/>
    </row>
    <row r="15" spans="1:26" x14ac:dyDescent="0.25">
      <c r="A15" s="3"/>
      <c r="B15" s="3"/>
      <c r="C15" s="9">
        <f t="shared" si="0"/>
        <v>54.976594294810809</v>
      </c>
      <c r="D15" s="9">
        <f t="shared" si="1"/>
        <v>-2.7873605210958901</v>
      </c>
      <c r="E15" s="9">
        <f t="shared" si="2"/>
        <v>1.9835440738750001</v>
      </c>
      <c r="F15" s="9">
        <f t="shared" si="3"/>
        <v>7.2057950080000005E-4</v>
      </c>
      <c r="G15" s="9">
        <f t="shared" si="4"/>
        <v>54.17349842709072</v>
      </c>
      <c r="H15" s="10">
        <v>-87</v>
      </c>
      <c r="I15" s="11">
        <f t="shared" si="5"/>
        <v>5.4173498427090719E-3</v>
      </c>
      <c r="J15" s="3"/>
      <c r="K15" s="20">
        <f t="shared" si="6"/>
        <v>0.58300050374413726</v>
      </c>
      <c r="L15" s="20">
        <f>K8</f>
        <v>0.37486932390748023</v>
      </c>
      <c r="M15" s="3"/>
      <c r="N15" s="6"/>
      <c r="O15" s="12">
        <v>85.467814660000002</v>
      </c>
      <c r="P15" s="12">
        <v>-5.0869329509999996</v>
      </c>
      <c r="Q15" s="12">
        <v>3.3131725190000001</v>
      </c>
      <c r="R15" s="12">
        <v>7.2057950080000005E-4</v>
      </c>
      <c r="S15" s="12">
        <v>83.694774800000005</v>
      </c>
      <c r="T15" s="3"/>
      <c r="U15" s="3"/>
      <c r="V15" s="9">
        <v>0.64</v>
      </c>
      <c r="W15" s="9">
        <v>1</v>
      </c>
      <c r="X15" s="3"/>
      <c r="Y15" s="3"/>
      <c r="Z15" s="3"/>
    </row>
    <row r="16" spans="1:26" x14ac:dyDescent="0.25">
      <c r="A16" s="3"/>
      <c r="B16" s="3"/>
      <c r="C16" s="9">
        <f t="shared" si="0"/>
        <v>59.878216664378378</v>
      </c>
      <c r="D16" s="9">
        <f t="shared" si="1"/>
        <v>-3.0355050257534244</v>
      </c>
      <c r="E16" s="9">
        <f t="shared" si="2"/>
        <v>2.1521573410657897</v>
      </c>
      <c r="F16" s="9">
        <f t="shared" si="3"/>
        <v>6.7480855759999997E-4</v>
      </c>
      <c r="G16" s="9">
        <f t="shared" si="4"/>
        <v>58.995543788248341</v>
      </c>
      <c r="H16" s="10">
        <v>-86</v>
      </c>
      <c r="I16" s="11">
        <f t="shared" si="5"/>
        <v>5.8995543788248339E-3</v>
      </c>
      <c r="J16" s="3"/>
      <c r="K16" s="3"/>
      <c r="L16" s="3"/>
      <c r="M16" s="3"/>
      <c r="N16" s="6"/>
      <c r="O16" s="12">
        <v>93.087983890000004</v>
      </c>
      <c r="P16" s="12">
        <v>-5.5397966719999996</v>
      </c>
      <c r="Q16" s="12">
        <v>3.594812262</v>
      </c>
      <c r="R16" s="12">
        <v>6.7480855759999997E-4</v>
      </c>
      <c r="S16" s="12">
        <v>91.143674290000007</v>
      </c>
      <c r="T16" s="3"/>
      <c r="U16" s="3"/>
      <c r="V16" s="9">
        <v>0.64</v>
      </c>
      <c r="W16" s="9">
        <v>1</v>
      </c>
      <c r="X16" s="3"/>
      <c r="Y16" s="3"/>
      <c r="Z16" s="3"/>
    </row>
    <row r="17" spans="1:26" x14ac:dyDescent="0.25">
      <c r="A17" s="3"/>
      <c r="B17" s="3"/>
      <c r="C17" s="9">
        <f t="shared" si="0"/>
        <v>64.779839021081088</v>
      </c>
      <c r="D17" s="9">
        <f t="shared" si="1"/>
        <v>-3.2836495304109588</v>
      </c>
      <c r="E17" s="9">
        <f t="shared" si="2"/>
        <v>2.3207706088552631</v>
      </c>
      <c r="F17" s="9">
        <f t="shared" si="3"/>
        <v>6.2903761439999999E-4</v>
      </c>
      <c r="G17" s="9">
        <f t="shared" si="4"/>
        <v>63.817589137139791</v>
      </c>
      <c r="H17" s="10">
        <v>-85</v>
      </c>
      <c r="I17" s="11">
        <f t="shared" si="5"/>
        <v>6.381758913713979E-3</v>
      </c>
      <c r="J17" s="3"/>
      <c r="K17" s="3"/>
      <c r="L17" s="3"/>
      <c r="M17" s="3"/>
      <c r="N17" s="6"/>
      <c r="O17" s="12">
        <v>100.7081531</v>
      </c>
      <c r="P17" s="12">
        <v>-5.9926603930000004</v>
      </c>
      <c r="Q17" s="12">
        <v>3.8764520060000001</v>
      </c>
      <c r="R17" s="12">
        <v>6.2903761439999999E-4</v>
      </c>
      <c r="S17" s="12">
        <v>98.592573770000001</v>
      </c>
      <c r="T17" s="3"/>
      <c r="U17" s="3"/>
      <c r="V17" s="9">
        <v>0.64</v>
      </c>
      <c r="W17" s="9">
        <v>1</v>
      </c>
      <c r="X17" s="3"/>
      <c r="Y17" s="3"/>
      <c r="Z17" s="3"/>
    </row>
    <row r="18" spans="1:26" x14ac:dyDescent="0.25">
      <c r="A18" s="3"/>
      <c r="B18" s="3"/>
      <c r="C18" s="9">
        <f t="shared" si="0"/>
        <v>69.681461435675672</v>
      </c>
      <c r="D18" s="9">
        <f t="shared" si="1"/>
        <v>-3.5317940350684931</v>
      </c>
      <c r="E18" s="9">
        <f t="shared" si="2"/>
        <v>2.4893838766447369</v>
      </c>
      <c r="F18" s="9">
        <f t="shared" si="3"/>
        <v>5.8326667120000002E-4</v>
      </c>
      <c r="G18" s="9">
        <f t="shared" si="4"/>
        <v>68.639634543923123</v>
      </c>
      <c r="H18" s="10">
        <v>-84</v>
      </c>
      <c r="I18" s="11">
        <f t="shared" si="5"/>
        <v>6.8639634543923127E-3</v>
      </c>
      <c r="J18" s="3"/>
      <c r="K18" s="3"/>
      <c r="L18" s="3"/>
      <c r="M18" s="3"/>
      <c r="N18" s="6"/>
      <c r="O18" s="12">
        <v>108.3283224</v>
      </c>
      <c r="P18" s="12">
        <v>-6.4455241140000004</v>
      </c>
      <c r="Q18" s="12">
        <v>4.1580917499999996</v>
      </c>
      <c r="R18" s="12">
        <v>5.8326667120000002E-4</v>
      </c>
      <c r="S18" s="12">
        <v>106.04147330000001</v>
      </c>
      <c r="T18" s="3"/>
      <c r="U18" s="3"/>
      <c r="V18" s="9">
        <v>0.64</v>
      </c>
      <c r="W18" s="9">
        <v>1</v>
      </c>
      <c r="X18" s="3"/>
      <c r="Y18" s="3"/>
      <c r="Z18" s="3"/>
    </row>
    <row r="19" spans="1:26" x14ac:dyDescent="0.25">
      <c r="A19" s="3"/>
      <c r="B19" s="3"/>
      <c r="C19" s="9">
        <f t="shared" si="0"/>
        <v>74.583083785945945</v>
      </c>
      <c r="D19" s="9">
        <f t="shared" si="1"/>
        <v>-3.7799385391780822</v>
      </c>
      <c r="E19" s="9">
        <f t="shared" si="2"/>
        <v>2.6579971444342108</v>
      </c>
      <c r="F19" s="9">
        <f t="shared" si="3"/>
        <v>5.3749572800000005E-4</v>
      </c>
      <c r="G19" s="9">
        <f t="shared" si="4"/>
        <v>73.461679886930071</v>
      </c>
      <c r="H19" s="10">
        <v>-83</v>
      </c>
      <c r="I19" s="11">
        <f t="shared" si="5"/>
        <v>7.3461679886930075E-3</v>
      </c>
      <c r="J19" s="3"/>
      <c r="K19" s="3"/>
      <c r="L19" s="3"/>
      <c r="M19" s="3"/>
      <c r="N19" s="6"/>
      <c r="O19" s="12">
        <v>115.9484916</v>
      </c>
      <c r="P19" s="12">
        <v>-6.8983878340000002</v>
      </c>
      <c r="Q19" s="12">
        <v>4.4397314940000001</v>
      </c>
      <c r="R19" s="12">
        <v>5.3749572800000005E-4</v>
      </c>
      <c r="S19" s="12">
        <v>113.49037269999999</v>
      </c>
      <c r="T19" s="3"/>
      <c r="U19" s="3"/>
      <c r="V19" s="9">
        <v>0.64</v>
      </c>
      <c r="W19" s="9">
        <v>1</v>
      </c>
      <c r="X19" s="3"/>
      <c r="Y19" s="3"/>
      <c r="Z19" s="3"/>
    </row>
    <row r="20" spans="1:26" x14ac:dyDescent="0.25">
      <c r="A20" s="3"/>
      <c r="B20" s="3"/>
      <c r="C20" s="9">
        <f t="shared" si="0"/>
        <v>79.484706136216218</v>
      </c>
      <c r="D20" s="9">
        <f t="shared" si="1"/>
        <v>-4.0280830438356166</v>
      </c>
      <c r="E20" s="9">
        <f t="shared" si="2"/>
        <v>2.8266104122236841</v>
      </c>
      <c r="F20" s="9">
        <f t="shared" si="3"/>
        <v>4.9172478479999997E-4</v>
      </c>
      <c r="G20" s="9">
        <f t="shared" si="4"/>
        <v>78.283725229389077</v>
      </c>
      <c r="H20" s="10">
        <v>-82</v>
      </c>
      <c r="I20" s="11">
        <f t="shared" si="5"/>
        <v>7.8283725229389076E-3</v>
      </c>
      <c r="J20" s="3"/>
      <c r="K20" s="3"/>
      <c r="L20" s="3"/>
      <c r="M20" s="3"/>
      <c r="N20" s="6"/>
      <c r="O20" s="12">
        <v>123.5686608</v>
      </c>
      <c r="P20" s="12">
        <v>-7.3512515550000002</v>
      </c>
      <c r="Q20" s="12">
        <v>4.7213712379999997</v>
      </c>
      <c r="R20" s="12">
        <v>4.9172478479999997E-4</v>
      </c>
      <c r="S20" s="12">
        <v>120.9392722</v>
      </c>
      <c r="T20" s="3"/>
      <c r="U20" s="3"/>
      <c r="V20" s="9">
        <v>0.64</v>
      </c>
      <c r="W20" s="9">
        <v>1</v>
      </c>
      <c r="X20" s="3"/>
      <c r="Y20" s="3"/>
      <c r="Z20" s="3"/>
    </row>
    <row r="21" spans="1:26" x14ac:dyDescent="0.25">
      <c r="A21" s="3"/>
      <c r="B21" s="3"/>
      <c r="C21" s="9">
        <f t="shared" si="0"/>
        <v>86.291387843783781</v>
      </c>
      <c r="D21" s="9">
        <f t="shared" si="1"/>
        <v>-4.3749133912328766</v>
      </c>
      <c r="E21" s="9">
        <f t="shared" si="2"/>
        <v>3.0617115919342108</v>
      </c>
      <c r="F21" s="9">
        <f t="shared" si="3"/>
        <v>4.6227389519999998E-4</v>
      </c>
      <c r="G21" s="9">
        <f t="shared" si="4"/>
        <v>84.978648318380309</v>
      </c>
      <c r="H21" s="10">
        <v>-81</v>
      </c>
      <c r="I21" s="11">
        <f t="shared" si="5"/>
        <v>8.4978648318380316E-3</v>
      </c>
      <c r="J21" s="3"/>
      <c r="K21" s="3"/>
      <c r="L21" s="3"/>
      <c r="M21" s="3"/>
      <c r="N21" s="6"/>
      <c r="O21" s="12">
        <v>134.1504769</v>
      </c>
      <c r="P21" s="12">
        <v>-7.9842169390000004</v>
      </c>
      <c r="Q21" s="12">
        <v>5.1140677139999999</v>
      </c>
      <c r="R21" s="12">
        <v>4.6227389519999998E-4</v>
      </c>
      <c r="S21" s="12">
        <v>131.2807899</v>
      </c>
      <c r="T21" s="3"/>
      <c r="U21" s="3"/>
      <c r="V21" s="9">
        <v>0.64</v>
      </c>
      <c r="W21" s="9">
        <v>1</v>
      </c>
      <c r="X21" s="3"/>
      <c r="Y21" s="3"/>
      <c r="Z21" s="3"/>
    </row>
    <row r="22" spans="1:26" x14ac:dyDescent="0.25">
      <c r="A22" s="3"/>
      <c r="B22" s="3"/>
      <c r="C22" s="9">
        <f t="shared" si="0"/>
        <v>97.006181485405392</v>
      </c>
      <c r="D22" s="9">
        <f t="shared" si="1"/>
        <v>-4.9241916783561637</v>
      </c>
      <c r="E22" s="9">
        <f t="shared" si="2"/>
        <v>3.4332086353157898</v>
      </c>
      <c r="F22" s="9">
        <f t="shared" si="3"/>
        <v>4.6630259259999998E-4</v>
      </c>
      <c r="G22" s="9">
        <f t="shared" si="4"/>
        <v>95.515664744957618</v>
      </c>
      <c r="H22" s="10">
        <v>-80</v>
      </c>
      <c r="I22" s="11">
        <f t="shared" si="5"/>
        <v>9.5515664744957613E-3</v>
      </c>
      <c r="J22" s="3"/>
      <c r="K22" s="3"/>
      <c r="L22" s="3"/>
      <c r="M22" s="3"/>
      <c r="N22" s="6"/>
      <c r="O22" s="12">
        <v>150.80792919999999</v>
      </c>
      <c r="P22" s="12">
        <v>-8.9866498129999997</v>
      </c>
      <c r="Q22" s="12">
        <v>5.7345902479999999</v>
      </c>
      <c r="R22" s="12">
        <v>4.6630259259999998E-4</v>
      </c>
      <c r="S22" s="12">
        <v>147.55633599999999</v>
      </c>
      <c r="T22" s="3"/>
      <c r="U22" s="3"/>
      <c r="V22" s="9">
        <v>0.64</v>
      </c>
      <c r="W22" s="9">
        <v>1</v>
      </c>
      <c r="X22" s="3"/>
      <c r="Y22" s="3"/>
      <c r="Z22" s="3"/>
    </row>
    <row r="23" spans="1:26" x14ac:dyDescent="0.25">
      <c r="A23" s="3"/>
      <c r="B23" s="3"/>
      <c r="C23" s="9">
        <f t="shared" si="0"/>
        <v>107.72097519135134</v>
      </c>
      <c r="D23" s="9">
        <f t="shared" si="1"/>
        <v>-5.4734699660273973</v>
      </c>
      <c r="E23" s="9">
        <f t="shared" si="2"/>
        <v>3.8047056786973688</v>
      </c>
      <c r="F23" s="9">
        <f t="shared" si="3"/>
        <v>4.703312899E-4</v>
      </c>
      <c r="G23" s="9">
        <f t="shared" si="4"/>
        <v>106.05268123531123</v>
      </c>
      <c r="H23" s="10">
        <v>-79</v>
      </c>
      <c r="I23" s="11">
        <f t="shared" si="5"/>
        <v>1.0605268123531122E-2</v>
      </c>
      <c r="J23" s="3"/>
      <c r="K23" s="3"/>
      <c r="L23" s="3"/>
      <c r="M23" s="3"/>
      <c r="N23" s="6"/>
      <c r="O23" s="12">
        <v>167.4653816</v>
      </c>
      <c r="P23" s="12">
        <v>-9.9890826879999999</v>
      </c>
      <c r="Q23" s="12">
        <v>6.355112782</v>
      </c>
      <c r="R23" s="12">
        <v>4.703312899E-4</v>
      </c>
      <c r="S23" s="12">
        <v>163.83188200000001</v>
      </c>
      <c r="T23" s="3"/>
      <c r="U23" s="3"/>
      <c r="V23" s="9">
        <v>0.64</v>
      </c>
      <c r="W23" s="9">
        <v>1</v>
      </c>
      <c r="X23" s="3"/>
      <c r="Y23" s="3"/>
      <c r="Z23" s="3"/>
    </row>
    <row r="24" spans="1:26" x14ac:dyDescent="0.25">
      <c r="A24" s="3"/>
      <c r="B24" s="3"/>
      <c r="C24" s="9">
        <f t="shared" si="0"/>
        <v>118.43576889729731</v>
      </c>
      <c r="D24" s="9">
        <f t="shared" si="1"/>
        <v>-6.0227482520547939</v>
      </c>
      <c r="E24" s="9">
        <f t="shared" si="2"/>
        <v>4.1762027226776315</v>
      </c>
      <c r="F24" s="9">
        <f t="shared" si="3"/>
        <v>4.7435998729999999E-4</v>
      </c>
      <c r="G24" s="9">
        <f t="shared" si="4"/>
        <v>116.58969772790743</v>
      </c>
      <c r="H24" s="10">
        <v>-78</v>
      </c>
      <c r="I24" s="11">
        <f t="shared" si="5"/>
        <v>1.1658969772790743E-2</v>
      </c>
      <c r="J24" s="3"/>
      <c r="K24" s="3"/>
      <c r="L24" s="3"/>
      <c r="M24" s="3"/>
      <c r="N24" s="6"/>
      <c r="O24" s="12">
        <v>184.12283400000001</v>
      </c>
      <c r="P24" s="12">
        <v>-10.99151556</v>
      </c>
      <c r="Q24" s="12">
        <v>6.9756353170000001</v>
      </c>
      <c r="R24" s="12">
        <v>4.7435998729999999E-4</v>
      </c>
      <c r="S24" s="12">
        <v>180.10742809999999</v>
      </c>
      <c r="T24" s="3"/>
      <c r="U24" s="3"/>
      <c r="V24" s="9">
        <v>0.64</v>
      </c>
      <c r="W24" s="9">
        <v>1</v>
      </c>
      <c r="X24" s="3"/>
      <c r="Y24" s="3"/>
      <c r="Z24" s="3"/>
    </row>
    <row r="25" spans="1:26" x14ac:dyDescent="0.25">
      <c r="A25" s="3"/>
      <c r="B25" s="3"/>
      <c r="C25" s="9">
        <f t="shared" si="0"/>
        <v>129.15056260324323</v>
      </c>
      <c r="D25" s="9">
        <f t="shared" si="1"/>
        <v>-6.5720265424657534</v>
      </c>
      <c r="E25" s="9">
        <f t="shared" si="2"/>
        <v>4.5476997660592104</v>
      </c>
      <c r="F25" s="9">
        <f t="shared" si="3"/>
        <v>4.7838868460000001E-4</v>
      </c>
      <c r="G25" s="9">
        <f t="shared" si="4"/>
        <v>127.12671421552129</v>
      </c>
      <c r="H25" s="10">
        <v>-77</v>
      </c>
      <c r="I25" s="11">
        <f t="shared" si="5"/>
        <v>1.2712671421552128E-2</v>
      </c>
      <c r="J25" s="3"/>
      <c r="K25" s="3"/>
      <c r="L25" s="3"/>
      <c r="M25" s="3"/>
      <c r="N25" s="6"/>
      <c r="O25" s="12">
        <v>200.78028639999999</v>
      </c>
      <c r="P25" s="12">
        <v>-11.99394844</v>
      </c>
      <c r="Q25" s="12">
        <v>7.5961578510000001</v>
      </c>
      <c r="R25" s="12">
        <v>4.7838868460000001E-4</v>
      </c>
      <c r="S25" s="12">
        <v>196.38297420000001</v>
      </c>
      <c r="T25" s="3"/>
      <c r="U25" s="3"/>
      <c r="V25" s="9">
        <v>0.64</v>
      </c>
      <c r="W25" s="9">
        <v>1</v>
      </c>
      <c r="X25" s="3"/>
      <c r="Y25" s="3"/>
      <c r="Z25" s="3"/>
    </row>
    <row r="26" spans="1:26" x14ac:dyDescent="0.25">
      <c r="A26" s="3"/>
      <c r="B26" s="3"/>
      <c r="C26" s="9">
        <f t="shared" si="0"/>
        <v>144.40848659243244</v>
      </c>
      <c r="D26" s="9">
        <f t="shared" si="1"/>
        <v>-7.3595565534246568</v>
      </c>
      <c r="E26" s="9">
        <f t="shared" si="2"/>
        <v>5.0794675235131583</v>
      </c>
      <c r="F26" s="9">
        <f t="shared" si="3"/>
        <v>2.4160565850000001E-4</v>
      </c>
      <c r="G26" s="9">
        <f t="shared" si="4"/>
        <v>142.12863916817943</v>
      </c>
      <c r="H26" s="10">
        <v>-76</v>
      </c>
      <c r="I26" s="11">
        <f t="shared" si="5"/>
        <v>1.4212863916817944E-2</v>
      </c>
      <c r="J26" s="3"/>
      <c r="K26" s="3"/>
      <c r="L26" s="3"/>
      <c r="M26" s="3"/>
      <c r="N26" s="6"/>
      <c r="O26" s="12">
        <v>224.5005884</v>
      </c>
      <c r="P26" s="12">
        <v>-13.431190709999999</v>
      </c>
      <c r="Q26" s="12">
        <v>8.4843853140000007</v>
      </c>
      <c r="R26" s="12">
        <v>2.4160565850000001E-4</v>
      </c>
      <c r="S26" s="12">
        <v>219.55402459999999</v>
      </c>
      <c r="T26" s="3"/>
      <c r="U26" s="3"/>
      <c r="V26" s="9">
        <v>0.64</v>
      </c>
      <c r="W26" s="9">
        <v>1</v>
      </c>
      <c r="X26" s="3"/>
      <c r="Y26" s="3"/>
      <c r="Z26" s="3"/>
    </row>
    <row r="27" spans="1:26" x14ac:dyDescent="0.25">
      <c r="A27" s="3"/>
      <c r="B27" s="3"/>
      <c r="C27" s="9">
        <f t="shared" si="0"/>
        <v>166.98413322216217</v>
      </c>
      <c r="D27" s="9">
        <f t="shared" si="1"/>
        <v>-8.5308440000000001</v>
      </c>
      <c r="E27" s="9">
        <f t="shared" si="2"/>
        <v>5.8693869438750008</v>
      </c>
      <c r="F27" s="9">
        <f t="shared" si="3"/>
        <v>-3.830582557E-4</v>
      </c>
      <c r="G27" s="9">
        <f t="shared" si="4"/>
        <v>164.32229310778149</v>
      </c>
      <c r="H27" s="10">
        <v>-75</v>
      </c>
      <c r="I27" s="11">
        <f t="shared" si="5"/>
        <v>1.6432229310778149E-2</v>
      </c>
      <c r="J27" s="3"/>
      <c r="K27" s="3"/>
      <c r="L27" s="3"/>
      <c r="M27" s="3"/>
      <c r="N27" s="6"/>
      <c r="O27" s="12">
        <v>259.59718190000001</v>
      </c>
      <c r="P27" s="12">
        <v>-15.5687903</v>
      </c>
      <c r="Q27" s="12">
        <v>9.8038111590000003</v>
      </c>
      <c r="R27" s="12">
        <v>-3.830582557E-4</v>
      </c>
      <c r="S27" s="12">
        <v>253.83181970000001</v>
      </c>
      <c r="T27" s="3"/>
      <c r="U27" s="3"/>
      <c r="V27" s="9">
        <v>0.64</v>
      </c>
      <c r="W27" s="9">
        <v>1</v>
      </c>
      <c r="X27" s="3"/>
      <c r="Y27" s="3"/>
      <c r="Z27" s="3"/>
    </row>
    <row r="28" spans="1:26" x14ac:dyDescent="0.25">
      <c r="A28" s="3"/>
      <c r="B28" s="3"/>
      <c r="C28" s="9">
        <f t="shared" si="0"/>
        <v>189.55977991621623</v>
      </c>
      <c r="D28" s="9">
        <f t="shared" si="1"/>
        <v>-9.702131452054795</v>
      </c>
      <c r="E28" s="9">
        <f t="shared" si="2"/>
        <v>6.6593063618421056</v>
      </c>
      <c r="F28" s="9">
        <f t="shared" si="3"/>
        <v>-1.0077221699999999E-3</v>
      </c>
      <c r="G28" s="9">
        <f t="shared" si="4"/>
        <v>186.51594710383355</v>
      </c>
      <c r="H28" s="10">
        <v>-74</v>
      </c>
      <c r="I28" s="11">
        <f t="shared" si="5"/>
        <v>1.8651594710383357E-2</v>
      </c>
      <c r="J28" s="3"/>
      <c r="K28" s="3"/>
      <c r="L28" s="3"/>
      <c r="M28" s="3"/>
      <c r="N28" s="6"/>
      <c r="O28" s="12">
        <v>294.69377550000002</v>
      </c>
      <c r="P28" s="12">
        <v>-17.706389900000001</v>
      </c>
      <c r="Q28" s="12">
        <v>11.123237</v>
      </c>
      <c r="R28" s="12">
        <v>-1.0077221699999999E-3</v>
      </c>
      <c r="S28" s="12">
        <v>288.1096149</v>
      </c>
      <c r="T28" s="3"/>
      <c r="U28" s="3"/>
      <c r="V28" s="9">
        <v>0.64</v>
      </c>
      <c r="W28" s="9">
        <v>1</v>
      </c>
      <c r="X28" s="3"/>
      <c r="Y28" s="3"/>
      <c r="Z28" s="3"/>
    </row>
    <row r="29" spans="1:26" x14ac:dyDescent="0.25">
      <c r="A29" s="3"/>
      <c r="B29" s="3"/>
      <c r="C29" s="9">
        <f t="shared" si="0"/>
        <v>212.13542654594593</v>
      </c>
      <c r="D29" s="9">
        <f t="shared" si="1"/>
        <v>-10.873418898630135</v>
      </c>
      <c r="E29" s="9">
        <f t="shared" si="2"/>
        <v>7.4492257851973687</v>
      </c>
      <c r="F29" s="9">
        <f t="shared" si="3"/>
        <v>-1.6323860840000001E-3</v>
      </c>
      <c r="G29" s="9">
        <f t="shared" si="4"/>
        <v>208.70960104642916</v>
      </c>
      <c r="H29" s="10">
        <v>-73</v>
      </c>
      <c r="I29" s="11">
        <f t="shared" si="5"/>
        <v>2.0870960104642917E-2</v>
      </c>
      <c r="J29" s="3"/>
      <c r="K29" s="3"/>
      <c r="L29" s="3"/>
      <c r="M29" s="3"/>
      <c r="N29" s="6"/>
      <c r="O29" s="12">
        <v>329.790369</v>
      </c>
      <c r="P29" s="12">
        <v>-19.843989489999998</v>
      </c>
      <c r="Q29" s="12">
        <v>12.44266285</v>
      </c>
      <c r="R29" s="12">
        <v>-1.6323860840000001E-3</v>
      </c>
      <c r="S29" s="12">
        <v>322.38740999999999</v>
      </c>
      <c r="T29" s="3"/>
      <c r="U29" s="3"/>
      <c r="V29" s="9">
        <v>0.64</v>
      </c>
      <c r="W29" s="9">
        <v>1</v>
      </c>
      <c r="X29" s="3"/>
      <c r="Y29" s="3"/>
      <c r="Z29" s="3"/>
    </row>
    <row r="30" spans="1:26" x14ac:dyDescent="0.25">
      <c r="A30" s="3"/>
      <c r="B30" s="3"/>
      <c r="C30" s="9">
        <f t="shared" si="0"/>
        <v>234.71107323999999</v>
      </c>
      <c r="D30" s="9">
        <f t="shared" si="1"/>
        <v>-12.044706350684931</v>
      </c>
      <c r="E30" s="9">
        <f t="shared" si="2"/>
        <v>8.2391452025657905</v>
      </c>
      <c r="F30" s="9">
        <f t="shared" si="3"/>
        <v>-2.257049998E-3</v>
      </c>
      <c r="G30" s="9">
        <f t="shared" si="4"/>
        <v>230.90325504188286</v>
      </c>
      <c r="H30" s="10">
        <v>-72</v>
      </c>
      <c r="I30" s="11">
        <f t="shared" si="5"/>
        <v>2.3090325504188287E-2</v>
      </c>
      <c r="J30" s="3"/>
      <c r="K30" s="3"/>
      <c r="L30" s="3"/>
      <c r="M30" s="3"/>
      <c r="N30" s="6"/>
      <c r="O30" s="12">
        <v>364.8869626</v>
      </c>
      <c r="P30" s="12">
        <v>-21.98158909</v>
      </c>
      <c r="Q30" s="12">
        <v>13.762088690000001</v>
      </c>
      <c r="R30" s="12">
        <v>-2.257049998E-3</v>
      </c>
      <c r="S30" s="12">
        <v>356.66520509999998</v>
      </c>
      <c r="T30" s="3"/>
      <c r="U30" s="3"/>
      <c r="V30" s="9">
        <v>0.64</v>
      </c>
      <c r="W30" s="9">
        <v>1</v>
      </c>
      <c r="X30" s="3"/>
      <c r="Y30" s="3"/>
      <c r="Z30" s="3"/>
    </row>
    <row r="31" spans="1:26" x14ac:dyDescent="0.25">
      <c r="A31" s="3"/>
      <c r="B31" s="3"/>
      <c r="C31" s="9">
        <f t="shared" si="0"/>
        <v>272.63078011135133</v>
      </c>
      <c r="D31" s="9">
        <f t="shared" si="1"/>
        <v>-14.018067704109589</v>
      </c>
      <c r="E31" s="9">
        <f t="shared" si="2"/>
        <v>9.5694656952631583</v>
      </c>
      <c r="F31" s="9">
        <f t="shared" si="3"/>
        <v>-3.392988325E-3</v>
      </c>
      <c r="G31" s="9">
        <f t="shared" si="4"/>
        <v>268.1787851141799</v>
      </c>
      <c r="H31" s="10">
        <v>-71</v>
      </c>
      <c r="I31" s="11">
        <f t="shared" si="5"/>
        <v>2.6817878511417991E-2</v>
      </c>
      <c r="J31" s="3"/>
      <c r="K31" s="3"/>
      <c r="L31" s="3"/>
      <c r="M31" s="3"/>
      <c r="N31" s="6"/>
      <c r="O31" s="12">
        <v>423.83776740000002</v>
      </c>
      <c r="P31" s="12">
        <v>-25.582973559999999</v>
      </c>
      <c r="Q31" s="12">
        <v>15.98416248</v>
      </c>
      <c r="R31" s="12">
        <v>-3.392988325E-3</v>
      </c>
      <c r="S31" s="12">
        <v>414.23556330000002</v>
      </c>
      <c r="T31" s="3"/>
      <c r="U31" s="3"/>
      <c r="V31" s="9">
        <v>0.64</v>
      </c>
      <c r="W31" s="9">
        <v>1</v>
      </c>
      <c r="X31" s="3"/>
      <c r="Y31" s="3"/>
      <c r="Z31" s="3"/>
    </row>
    <row r="32" spans="1:26" x14ac:dyDescent="0.25">
      <c r="A32" s="3"/>
      <c r="B32" s="3"/>
      <c r="C32" s="9">
        <f t="shared" si="0"/>
        <v>330.20998599513513</v>
      </c>
      <c r="D32" s="9">
        <f t="shared" si="1"/>
        <v>-17.019082175342465</v>
      </c>
      <c r="E32" s="9">
        <f t="shared" si="2"/>
        <v>11.592172302236843</v>
      </c>
      <c r="F32" s="9">
        <f t="shared" si="3"/>
        <v>-5.1839943900000001E-3</v>
      </c>
      <c r="G32" s="9">
        <f t="shared" si="4"/>
        <v>324.77789212763952</v>
      </c>
      <c r="H32" s="10">
        <v>-70</v>
      </c>
      <c r="I32" s="11">
        <f t="shared" si="5"/>
        <v>3.2477789212763952E-2</v>
      </c>
      <c r="J32" s="3"/>
      <c r="K32" s="3"/>
      <c r="L32" s="3"/>
      <c r="M32" s="3"/>
      <c r="N32" s="6"/>
      <c r="O32" s="12">
        <v>513.35165889999996</v>
      </c>
      <c r="P32" s="12">
        <v>-31.059824970000001</v>
      </c>
      <c r="Q32" s="12">
        <v>19.362749340000001</v>
      </c>
      <c r="R32" s="12">
        <v>-5.1839943900000001E-3</v>
      </c>
      <c r="S32" s="12">
        <v>501.64939930000003</v>
      </c>
      <c r="T32" s="3"/>
      <c r="U32" s="3"/>
      <c r="V32" s="9">
        <v>0.64</v>
      </c>
      <c r="W32" s="9">
        <v>1</v>
      </c>
      <c r="X32" s="3"/>
      <c r="Y32" s="3"/>
      <c r="Z32" s="3"/>
    </row>
    <row r="33" spans="1:26" x14ac:dyDescent="0.25">
      <c r="A33" s="3"/>
      <c r="B33" s="3"/>
      <c r="C33" s="9">
        <f t="shared" si="0"/>
        <v>387.78919187891887</v>
      </c>
      <c r="D33" s="9">
        <f t="shared" si="1"/>
        <v>-20.02009664109589</v>
      </c>
      <c r="E33" s="9">
        <f t="shared" si="2"/>
        <v>13.614878909210526</v>
      </c>
      <c r="F33" s="9">
        <f t="shared" si="3"/>
        <v>-6.9750004549999998E-3</v>
      </c>
      <c r="G33" s="9">
        <f t="shared" si="4"/>
        <v>381.3769991465785</v>
      </c>
      <c r="H33" s="10">
        <v>-69</v>
      </c>
      <c r="I33" s="11">
        <f t="shared" si="5"/>
        <v>3.8137699914657847E-2</v>
      </c>
      <c r="J33" s="3"/>
      <c r="K33" s="3"/>
      <c r="L33" s="3"/>
      <c r="M33" s="3"/>
      <c r="N33" s="6"/>
      <c r="O33" s="12">
        <v>602.86555039999996</v>
      </c>
      <c r="P33" s="12">
        <v>-36.536676370000002</v>
      </c>
      <c r="Q33" s="12">
        <v>22.741336199999999</v>
      </c>
      <c r="R33" s="12">
        <v>-6.9750004549999998E-3</v>
      </c>
      <c r="S33" s="12">
        <v>589.06323520000001</v>
      </c>
      <c r="T33" s="3"/>
      <c r="U33" s="3"/>
      <c r="V33" s="9">
        <v>0.64</v>
      </c>
      <c r="W33" s="9">
        <v>1</v>
      </c>
      <c r="X33" s="3"/>
      <c r="Y33" s="3"/>
      <c r="Z33" s="3"/>
    </row>
    <row r="34" spans="1:26" x14ac:dyDescent="0.25">
      <c r="A34" s="3"/>
      <c r="B34" s="3"/>
      <c r="C34" s="9">
        <f t="shared" si="0"/>
        <v>464.72476492324324</v>
      </c>
      <c r="D34" s="9">
        <f t="shared" si="1"/>
        <v>-24.049013391780822</v>
      </c>
      <c r="E34" s="9">
        <f t="shared" si="2"/>
        <v>16.328915826907895</v>
      </c>
      <c r="F34" s="9">
        <f t="shared" si="3"/>
        <v>-9.2704312000000001E-3</v>
      </c>
      <c r="G34" s="9">
        <f t="shared" si="4"/>
        <v>456.99539692717036</v>
      </c>
      <c r="H34" s="10">
        <v>-68</v>
      </c>
      <c r="I34" s="11">
        <f t="shared" si="5"/>
        <v>4.5699539692717034E-2</v>
      </c>
      <c r="J34" s="3"/>
      <c r="K34" s="3"/>
      <c r="L34" s="3"/>
      <c r="M34" s="3"/>
      <c r="N34" s="6"/>
      <c r="O34" s="12">
        <v>722.47127320000004</v>
      </c>
      <c r="P34" s="12">
        <v>-43.88944944</v>
      </c>
      <c r="Q34" s="12">
        <v>27.274672590000002</v>
      </c>
      <c r="R34" s="12">
        <v>-9.2704312000000001E-3</v>
      </c>
      <c r="S34" s="12">
        <v>705.84722590000001</v>
      </c>
      <c r="T34" s="3"/>
      <c r="U34" s="3"/>
      <c r="V34" s="9">
        <v>0.64</v>
      </c>
      <c r="W34" s="9">
        <v>1</v>
      </c>
      <c r="X34" s="3"/>
      <c r="Y34" s="3"/>
      <c r="Z34" s="3"/>
    </row>
    <row r="35" spans="1:26" x14ac:dyDescent="0.25">
      <c r="A35" s="3"/>
      <c r="B35" s="3"/>
      <c r="C35" s="9">
        <f t="shared" si="0"/>
        <v>542.34124747675673</v>
      </c>
      <c r="D35" s="9">
        <f t="shared" si="1"/>
        <v>-28.114089232876708</v>
      </c>
      <c r="E35" s="9">
        <f t="shared" si="2"/>
        <v>19.067272051578946</v>
      </c>
      <c r="F35" s="9">
        <f t="shared" si="3"/>
        <v>-1.1583606369999999E-2</v>
      </c>
      <c r="G35" s="9">
        <f t="shared" si="4"/>
        <v>533.28284668908896</v>
      </c>
      <c r="H35" s="10">
        <v>-67</v>
      </c>
      <c r="I35" s="11">
        <f t="shared" si="5"/>
        <v>5.3328284668908897E-2</v>
      </c>
      <c r="J35" s="3"/>
      <c r="K35" s="3"/>
      <c r="L35" s="3"/>
      <c r="M35" s="3"/>
      <c r="N35" s="6"/>
      <c r="O35" s="12">
        <v>843.13555280000003</v>
      </c>
      <c r="P35" s="12">
        <v>-51.308212849999997</v>
      </c>
      <c r="Q35" s="12">
        <v>31.848630239999999</v>
      </c>
      <c r="R35" s="12">
        <v>-1.1583606369999999E-2</v>
      </c>
      <c r="S35" s="12">
        <v>823.66438659999994</v>
      </c>
      <c r="T35" s="3"/>
      <c r="U35" s="3"/>
      <c r="V35" s="9">
        <v>0.64</v>
      </c>
      <c r="W35" s="9">
        <v>1</v>
      </c>
      <c r="X35" s="3"/>
      <c r="Y35" s="3"/>
      <c r="Z35" s="3"/>
    </row>
    <row r="36" spans="1:26" x14ac:dyDescent="0.25">
      <c r="A36" s="3"/>
      <c r="B36" s="3"/>
      <c r="C36" s="9">
        <f t="shared" si="0"/>
        <v>634.99494799999991</v>
      </c>
      <c r="D36" s="9">
        <f t="shared" si="1"/>
        <v>-32.974057391780818</v>
      </c>
      <c r="E36" s="9">
        <f t="shared" si="2"/>
        <v>22.33996836243421</v>
      </c>
      <c r="F36" s="9">
        <f t="shared" si="3"/>
        <v>-1.460632703E-2</v>
      </c>
      <c r="G36" s="9">
        <f t="shared" si="4"/>
        <v>624.3462526436233</v>
      </c>
      <c r="H36" s="10">
        <v>-66</v>
      </c>
      <c r="I36" s="11">
        <f t="shared" si="5"/>
        <v>6.2434625264362331E-2</v>
      </c>
      <c r="J36" s="3"/>
      <c r="K36" s="3"/>
      <c r="L36" s="3"/>
      <c r="M36" s="3"/>
      <c r="N36" s="6"/>
      <c r="O36" s="12">
        <v>987.17701999999997</v>
      </c>
      <c r="P36" s="12">
        <v>-60.177654740000001</v>
      </c>
      <c r="Q36" s="12">
        <v>37.315111989999998</v>
      </c>
      <c r="R36" s="12">
        <v>-1.460632703E-2</v>
      </c>
      <c r="S36" s="12">
        <v>964.29987089999997</v>
      </c>
      <c r="T36" s="3"/>
      <c r="U36" s="3"/>
      <c r="V36" s="9">
        <v>0.64</v>
      </c>
      <c r="W36" s="9">
        <v>1</v>
      </c>
      <c r="X36" s="3"/>
      <c r="Y36" s="3"/>
      <c r="Z36" s="3"/>
    </row>
    <row r="37" spans="1:26" x14ac:dyDescent="0.25">
      <c r="A37" s="3"/>
      <c r="B37" s="3"/>
      <c r="C37" s="9">
        <f t="shared" si="0"/>
        <v>743.07096155675674</v>
      </c>
      <c r="D37" s="9">
        <f t="shared" si="1"/>
        <v>-38.649274657534242</v>
      </c>
      <c r="E37" s="9">
        <f t="shared" si="2"/>
        <v>26.160688944342105</v>
      </c>
      <c r="F37" s="9">
        <f t="shared" si="3"/>
        <v>-1.8356764290000001E-2</v>
      </c>
      <c r="G37" s="9">
        <f t="shared" si="4"/>
        <v>730.56401907927466</v>
      </c>
      <c r="H37" s="10">
        <v>-65</v>
      </c>
      <c r="I37" s="11">
        <f t="shared" si="5"/>
        <v>7.3056401907927462E-2</v>
      </c>
      <c r="J37" s="3"/>
      <c r="K37" s="3"/>
      <c r="L37" s="3"/>
      <c r="M37" s="3"/>
      <c r="N37" s="6"/>
      <c r="O37" s="12">
        <v>1155.194352</v>
      </c>
      <c r="P37" s="12">
        <v>-70.534926249999998</v>
      </c>
      <c r="Q37" s="12">
        <v>43.696974939999997</v>
      </c>
      <c r="R37" s="12">
        <v>-1.8356764290000001E-2</v>
      </c>
      <c r="S37" s="12">
        <v>1128.3380440000001</v>
      </c>
      <c r="T37" s="3"/>
      <c r="U37" s="3"/>
      <c r="V37" s="9">
        <v>0.64</v>
      </c>
      <c r="W37" s="9">
        <v>1</v>
      </c>
      <c r="X37" s="3"/>
      <c r="Y37" s="3"/>
      <c r="Z37" s="3"/>
    </row>
    <row r="38" spans="1:26" x14ac:dyDescent="0.25">
      <c r="A38" s="3"/>
      <c r="B38" s="3"/>
      <c r="C38" s="9">
        <f t="shared" si="0"/>
        <v>852.64559485945938</v>
      </c>
      <c r="D38" s="9">
        <f t="shared" si="1"/>
        <v>-44.403725512328769</v>
      </c>
      <c r="E38" s="9">
        <f t="shared" si="2"/>
        <v>30.034510307236843</v>
      </c>
      <c r="F38" s="9">
        <f t="shared" si="3"/>
        <v>-2.232568217E-2</v>
      </c>
      <c r="G38" s="9">
        <f t="shared" si="4"/>
        <v>838.25405397219743</v>
      </c>
      <c r="H38" s="10">
        <v>-64</v>
      </c>
      <c r="I38" s="11">
        <f t="shared" si="5"/>
        <v>8.3825405397219749E-2</v>
      </c>
      <c r="J38" s="3"/>
      <c r="K38" s="3"/>
      <c r="L38" s="3"/>
      <c r="M38" s="3"/>
      <c r="N38" s="6"/>
      <c r="O38" s="12">
        <v>1325.541471</v>
      </c>
      <c r="P38" s="12">
        <v>-81.036799060000007</v>
      </c>
      <c r="Q38" s="12">
        <v>50.1675337</v>
      </c>
      <c r="R38" s="12">
        <v>-2.232568217E-2</v>
      </c>
      <c r="S38" s="12">
        <v>1294.6498799999999</v>
      </c>
      <c r="T38" s="3"/>
      <c r="U38" s="3"/>
      <c r="V38" s="9">
        <v>0.64</v>
      </c>
      <c r="W38" s="9">
        <v>1</v>
      </c>
      <c r="X38" s="3"/>
      <c r="Y38" s="3"/>
      <c r="Z38" s="3"/>
    </row>
    <row r="39" spans="1:26" x14ac:dyDescent="0.25">
      <c r="A39" s="3"/>
      <c r="B39" s="3"/>
      <c r="C39" s="9">
        <f t="shared" si="0"/>
        <v>1030.9497851837839</v>
      </c>
      <c r="D39" s="9">
        <f t="shared" si="1"/>
        <v>-53.791981210958902</v>
      </c>
      <c r="E39" s="9">
        <f t="shared" si="2"/>
        <v>36.343635623750004</v>
      </c>
      <c r="F39" s="9">
        <f t="shared" si="3"/>
        <v>-3.631454177E-2</v>
      </c>
      <c r="G39" s="9">
        <f t="shared" si="4"/>
        <v>1013.465125054805</v>
      </c>
      <c r="H39" s="10">
        <v>-63</v>
      </c>
      <c r="I39" s="11">
        <f t="shared" si="5"/>
        <v>0.10134651250548049</v>
      </c>
      <c r="J39" s="3"/>
      <c r="K39" s="3"/>
      <c r="L39" s="3"/>
      <c r="M39" s="3"/>
      <c r="N39" s="6"/>
      <c r="O39" s="12">
        <v>1602.737061</v>
      </c>
      <c r="P39" s="12">
        <v>-98.170365709999999</v>
      </c>
      <c r="Q39" s="12">
        <v>60.705852909999997</v>
      </c>
      <c r="R39" s="12">
        <v>-3.631454177E-2</v>
      </c>
      <c r="S39" s="12">
        <v>1565.236234</v>
      </c>
      <c r="T39" s="3"/>
      <c r="U39" s="3"/>
      <c r="V39" s="9">
        <v>0.64</v>
      </c>
      <c r="W39" s="9">
        <v>1</v>
      </c>
      <c r="X39" s="3"/>
      <c r="Y39" s="3"/>
      <c r="Z39" s="3"/>
    </row>
    <row r="40" spans="1:26" x14ac:dyDescent="0.25">
      <c r="A40" s="3"/>
      <c r="B40" s="3"/>
      <c r="C40" s="9">
        <f t="shared" si="0"/>
        <v>1185.303194145946</v>
      </c>
      <c r="D40" s="9">
        <f t="shared" si="1"/>
        <v>-62.158529863013698</v>
      </c>
      <c r="E40" s="9">
        <f t="shared" si="2"/>
        <v>41.944704147039474</v>
      </c>
      <c r="F40" s="9">
        <f t="shared" si="3"/>
        <v>-4.9501224359999998E-2</v>
      </c>
      <c r="G40" s="9">
        <f t="shared" si="4"/>
        <v>1165.0398672056117</v>
      </c>
      <c r="H40" s="10">
        <v>-62</v>
      </c>
      <c r="I40" s="11">
        <f t="shared" si="5"/>
        <v>0.11650398672056117</v>
      </c>
      <c r="J40" s="3"/>
      <c r="K40" s="3"/>
      <c r="L40" s="3"/>
      <c r="M40" s="3"/>
      <c r="N40" s="6"/>
      <c r="O40" s="12">
        <v>1842.698243</v>
      </c>
      <c r="P40" s="12">
        <v>-113.439317</v>
      </c>
      <c r="Q40" s="12">
        <v>70.061483850000002</v>
      </c>
      <c r="R40" s="12">
        <v>-4.9501224359999998E-2</v>
      </c>
      <c r="S40" s="12">
        <v>1799.270908</v>
      </c>
      <c r="T40" s="3"/>
      <c r="U40" s="3"/>
      <c r="V40" s="9">
        <v>0.64</v>
      </c>
      <c r="W40" s="9">
        <v>1</v>
      </c>
      <c r="X40" s="3"/>
      <c r="Y40" s="3"/>
      <c r="Z40" s="3"/>
    </row>
    <row r="41" spans="1:26" x14ac:dyDescent="0.25">
      <c r="A41" s="3"/>
      <c r="B41" s="3"/>
      <c r="C41" s="9">
        <f t="shared" si="0"/>
        <v>1410.1676351567567</v>
      </c>
      <c r="D41" s="9">
        <f t="shared" si="1"/>
        <v>-73.911528000000004</v>
      </c>
      <c r="E41" s="9">
        <f t="shared" si="2"/>
        <v>49.854201849605268</v>
      </c>
      <c r="F41" s="9">
        <f t="shared" si="3"/>
        <v>-5.4748808949999998E-2</v>
      </c>
      <c r="G41" s="9">
        <f t="shared" si="4"/>
        <v>1386.0555601974118</v>
      </c>
      <c r="H41" s="10">
        <v>-61</v>
      </c>
      <c r="I41" s="11">
        <f t="shared" si="5"/>
        <v>0.13860555601974117</v>
      </c>
      <c r="J41" s="3"/>
      <c r="K41" s="3"/>
      <c r="L41" s="3"/>
      <c r="M41" s="3"/>
      <c r="N41" s="6"/>
      <c r="O41" s="12">
        <v>2192.2774159999999</v>
      </c>
      <c r="P41" s="12">
        <v>-134.8885386</v>
      </c>
      <c r="Q41" s="12">
        <v>83.272952540000006</v>
      </c>
      <c r="R41" s="12">
        <v>-5.4748808949999998E-2</v>
      </c>
      <c r="S41" s="12">
        <v>2140.6070810000001</v>
      </c>
      <c r="T41" s="3"/>
      <c r="U41" s="3"/>
      <c r="V41" s="9">
        <v>0.64</v>
      </c>
      <c r="W41" s="9">
        <v>1</v>
      </c>
      <c r="X41" s="3"/>
      <c r="Y41" s="3"/>
      <c r="Z41" s="3"/>
    </row>
    <row r="42" spans="1:26" x14ac:dyDescent="0.25">
      <c r="A42" s="3"/>
      <c r="B42" s="3"/>
      <c r="C42" s="9">
        <f t="shared" si="0"/>
        <v>1685.3024207297296</v>
      </c>
      <c r="D42" s="9">
        <f t="shared" si="1"/>
        <v>-88.217447287671234</v>
      </c>
      <c r="E42" s="9">
        <f t="shared" si="2"/>
        <v>59.54273253756579</v>
      </c>
      <c r="F42" s="9">
        <f t="shared" si="3"/>
        <v>3.381565754E-3</v>
      </c>
      <c r="G42" s="9">
        <f t="shared" si="4"/>
        <v>1656.6310875453783</v>
      </c>
      <c r="H42" s="10">
        <v>-60</v>
      </c>
      <c r="I42" s="11">
        <f t="shared" si="5"/>
        <v>0.16566310875453782</v>
      </c>
      <c r="J42" s="3"/>
      <c r="K42" s="3"/>
      <c r="L42" s="3"/>
      <c r="M42" s="3"/>
      <c r="N42" s="6"/>
      <c r="O42" s="12">
        <v>2620.0079649999998</v>
      </c>
      <c r="P42" s="12">
        <v>-160.9968413</v>
      </c>
      <c r="Q42" s="12">
        <v>99.455992809999998</v>
      </c>
      <c r="R42" s="12">
        <v>3.381565754E-3</v>
      </c>
      <c r="S42" s="12">
        <v>2558.4704980000001</v>
      </c>
      <c r="T42" s="3"/>
      <c r="U42" s="3"/>
      <c r="V42" s="9">
        <v>0.64</v>
      </c>
      <c r="W42" s="9">
        <v>1</v>
      </c>
      <c r="X42" s="3"/>
      <c r="Y42" s="3"/>
      <c r="Z42" s="3"/>
    </row>
    <row r="43" spans="1:26" x14ac:dyDescent="0.25">
      <c r="A43" s="3"/>
      <c r="B43" s="3"/>
      <c r="C43" s="9">
        <f t="shared" si="0"/>
        <v>1974.0902531945947</v>
      </c>
      <c r="D43" s="9">
        <f t="shared" si="1"/>
        <v>-103.40555112328767</v>
      </c>
      <c r="E43" s="9">
        <f t="shared" si="2"/>
        <v>69.757348785526318</v>
      </c>
      <c r="F43" s="9">
        <f t="shared" si="3"/>
        <v>1.4623463519999999E-2</v>
      </c>
      <c r="G43" s="9">
        <f t="shared" si="4"/>
        <v>1940.4566743203532</v>
      </c>
      <c r="H43" s="10">
        <v>-59</v>
      </c>
      <c r="I43" s="11">
        <f t="shared" si="5"/>
        <v>0.19404566743203533</v>
      </c>
      <c r="J43" s="3"/>
      <c r="K43" s="3"/>
      <c r="L43" s="3"/>
      <c r="M43" s="3"/>
      <c r="N43" s="6"/>
      <c r="O43" s="12">
        <v>3068.963839</v>
      </c>
      <c r="P43" s="12">
        <v>-188.7151308</v>
      </c>
      <c r="Q43" s="12">
        <v>116.51776940000001</v>
      </c>
      <c r="R43" s="12">
        <v>1.4623463519999999E-2</v>
      </c>
      <c r="S43" s="12">
        <v>2996.781101</v>
      </c>
      <c r="T43" s="3"/>
      <c r="U43" s="3"/>
      <c r="V43" s="9">
        <v>0.64</v>
      </c>
      <c r="W43" s="9">
        <v>1</v>
      </c>
      <c r="X43" s="3"/>
      <c r="Y43" s="3"/>
      <c r="Z43" s="3"/>
    </row>
    <row r="44" spans="1:26" x14ac:dyDescent="0.25">
      <c r="A44" s="3"/>
      <c r="B44" s="3"/>
      <c r="C44" s="9">
        <f t="shared" si="0"/>
        <v>2305.8714412810809</v>
      </c>
      <c r="D44" s="9">
        <f t="shared" si="1"/>
        <v>-120.9634995068493</v>
      </c>
      <c r="E44" s="9">
        <f t="shared" si="2"/>
        <v>81.494120901973687</v>
      </c>
      <c r="F44" s="9">
        <f t="shared" si="3"/>
        <v>-3.3823821830000003E-2</v>
      </c>
      <c r="G44" s="9">
        <f t="shared" si="4"/>
        <v>2266.3682388543748</v>
      </c>
      <c r="H44" s="10">
        <v>-58</v>
      </c>
      <c r="I44" s="11">
        <f t="shared" si="5"/>
        <v>0.22663682388543749</v>
      </c>
      <c r="J44" s="3"/>
      <c r="K44" s="3"/>
      <c r="L44" s="3"/>
      <c r="M44" s="3"/>
      <c r="N44" s="6"/>
      <c r="O44" s="12">
        <v>3584.7581230000001</v>
      </c>
      <c r="P44" s="12">
        <v>-220.75838659999999</v>
      </c>
      <c r="Q44" s="12">
        <v>136.1220481</v>
      </c>
      <c r="R44" s="12">
        <v>-3.3823821830000003E-2</v>
      </c>
      <c r="S44" s="12">
        <v>3500.0879610000002</v>
      </c>
      <c r="T44" s="3"/>
      <c r="U44" s="3"/>
      <c r="V44" s="9">
        <v>0.64</v>
      </c>
      <c r="W44" s="9">
        <v>1</v>
      </c>
      <c r="X44" s="3"/>
      <c r="Y44" s="3"/>
      <c r="Z44" s="3"/>
    </row>
    <row r="45" spans="1:26" x14ac:dyDescent="0.25">
      <c r="A45" s="3"/>
      <c r="B45" s="3"/>
      <c r="C45" s="9">
        <f t="shared" si="0"/>
        <v>2677.3333395351351</v>
      </c>
      <c r="D45" s="9">
        <f t="shared" si="1"/>
        <v>-140.47231391780821</v>
      </c>
      <c r="E45" s="9">
        <f t="shared" si="2"/>
        <v>94.601948589473693</v>
      </c>
      <c r="F45" s="9">
        <f t="shared" si="3"/>
        <v>5.8608663460000003E-4</v>
      </c>
      <c r="G45" s="9">
        <f t="shared" si="4"/>
        <v>2631.463560293435</v>
      </c>
      <c r="H45" s="10">
        <v>-57</v>
      </c>
      <c r="I45" s="11">
        <f t="shared" si="5"/>
        <v>0.2631463560293435</v>
      </c>
      <c r="J45" s="3"/>
      <c r="K45" s="3"/>
      <c r="L45" s="3"/>
      <c r="M45" s="3"/>
      <c r="N45" s="6"/>
      <c r="O45" s="12">
        <v>4162.240906</v>
      </c>
      <c r="P45" s="12">
        <v>-256.36197290000001</v>
      </c>
      <c r="Q45" s="12">
        <v>158.01644160000001</v>
      </c>
      <c r="R45" s="12">
        <v>5.8608663460000003E-4</v>
      </c>
      <c r="S45" s="12">
        <v>4063.8959610000002</v>
      </c>
      <c r="T45" s="3"/>
      <c r="U45" s="3"/>
      <c r="V45" s="9">
        <v>0.64</v>
      </c>
      <c r="W45" s="9">
        <v>1</v>
      </c>
      <c r="X45" s="3"/>
      <c r="Y45" s="3"/>
      <c r="Z45" s="3"/>
    </row>
    <row r="46" spans="1:26" x14ac:dyDescent="0.25">
      <c r="A46" s="3"/>
      <c r="B46" s="3"/>
      <c r="C46" s="9">
        <f t="shared" si="0"/>
        <v>3093.3672101027028</v>
      </c>
      <c r="D46" s="9">
        <f t="shared" si="1"/>
        <v>-162.3072341369863</v>
      </c>
      <c r="E46" s="9">
        <f t="shared" si="2"/>
        <v>109.25668282236842</v>
      </c>
      <c r="F46" s="9">
        <f t="shared" si="3"/>
        <v>5.085551101E-2</v>
      </c>
      <c r="G46" s="9">
        <f t="shared" si="4"/>
        <v>3040.3675142990951</v>
      </c>
      <c r="H46" s="10">
        <v>-56</v>
      </c>
      <c r="I46" s="11">
        <f t="shared" si="5"/>
        <v>0.30403675142990949</v>
      </c>
      <c r="J46" s="3"/>
      <c r="K46" s="3"/>
      <c r="L46" s="3"/>
      <c r="M46" s="3"/>
      <c r="N46" s="6"/>
      <c r="O46" s="12">
        <v>4809.016251</v>
      </c>
      <c r="P46" s="12">
        <v>-296.21070229999998</v>
      </c>
      <c r="Q46" s="12">
        <v>182.49467899999999</v>
      </c>
      <c r="R46" s="12">
        <v>5.085551101E-2</v>
      </c>
      <c r="S46" s="12">
        <v>4695.3510839999999</v>
      </c>
      <c r="T46" s="3"/>
      <c r="U46" s="3"/>
      <c r="V46" s="9">
        <v>0.64</v>
      </c>
      <c r="W46" s="9">
        <v>1</v>
      </c>
      <c r="X46" s="3"/>
      <c r="Y46" s="3"/>
      <c r="Z46" s="3"/>
    </row>
    <row r="47" spans="1:26" x14ac:dyDescent="0.25">
      <c r="A47" s="3"/>
      <c r="B47" s="3"/>
      <c r="C47" s="9">
        <f t="shared" si="0"/>
        <v>3552.5949918162164</v>
      </c>
      <c r="D47" s="9">
        <f t="shared" si="1"/>
        <v>-186.39204816438357</v>
      </c>
      <c r="E47" s="9">
        <f t="shared" si="2"/>
        <v>125.22294683223684</v>
      </c>
      <c r="F47" s="9">
        <f t="shared" si="3"/>
        <v>-5.5692584420000003E-2</v>
      </c>
      <c r="G47" s="9">
        <f t="shared" si="4"/>
        <v>3491.3701978996496</v>
      </c>
      <c r="H47" s="10">
        <v>-55</v>
      </c>
      <c r="I47" s="11">
        <f t="shared" si="5"/>
        <v>0.34913701978996498</v>
      </c>
      <c r="J47" s="3"/>
      <c r="K47" s="3"/>
      <c r="L47" s="3"/>
      <c r="M47" s="3"/>
      <c r="N47" s="6"/>
      <c r="O47" s="12">
        <v>5522.9417940000003</v>
      </c>
      <c r="P47" s="12">
        <v>-340.16548790000002</v>
      </c>
      <c r="Q47" s="12">
        <v>209.16360349999999</v>
      </c>
      <c r="R47" s="12">
        <v>-5.5692584420000003E-2</v>
      </c>
      <c r="S47" s="12">
        <v>5391.8842169999998</v>
      </c>
      <c r="T47" s="3"/>
      <c r="U47" s="3"/>
      <c r="V47" s="9">
        <v>0.64</v>
      </c>
      <c r="W47" s="9">
        <v>1</v>
      </c>
      <c r="X47" s="3"/>
      <c r="Y47" s="3"/>
      <c r="Z47" s="3"/>
    </row>
    <row r="48" spans="1:26" x14ac:dyDescent="0.25">
      <c r="A48" s="3"/>
      <c r="B48" s="3"/>
      <c r="C48" s="9">
        <f t="shared" si="0"/>
        <v>4055.1280924756757</v>
      </c>
      <c r="D48" s="9">
        <f t="shared" si="1"/>
        <v>-212.6244819178082</v>
      </c>
      <c r="E48" s="9">
        <f t="shared" si="2"/>
        <v>142.6993463230263</v>
      </c>
      <c r="F48" s="9">
        <f t="shared" si="3"/>
        <v>-3.4981386740000002E-2</v>
      </c>
      <c r="G48" s="9">
        <f t="shared" si="4"/>
        <v>3985.1679754941538</v>
      </c>
      <c r="H48" s="10">
        <v>-54</v>
      </c>
      <c r="I48" s="11">
        <f t="shared" si="5"/>
        <v>0.39851679754941538</v>
      </c>
      <c r="J48" s="3"/>
      <c r="K48" s="3"/>
      <c r="L48" s="3"/>
      <c r="M48" s="3"/>
      <c r="N48" s="6"/>
      <c r="O48" s="12">
        <v>6304.190732</v>
      </c>
      <c r="P48" s="12">
        <v>-388.03967949999998</v>
      </c>
      <c r="Q48" s="12">
        <v>238.35495209999999</v>
      </c>
      <c r="R48" s="12">
        <v>-3.4981386740000002E-2</v>
      </c>
      <c r="S48" s="12">
        <v>6154.4710240000004</v>
      </c>
      <c r="T48" s="3"/>
      <c r="U48" s="3"/>
      <c r="V48" s="9">
        <v>0.64</v>
      </c>
      <c r="W48" s="9">
        <v>1</v>
      </c>
      <c r="X48" s="3"/>
      <c r="Y48" s="3"/>
      <c r="Z48" s="3"/>
    </row>
    <row r="49" spans="1:26" x14ac:dyDescent="0.25">
      <c r="A49" s="3"/>
      <c r="B49" s="3"/>
      <c r="C49" s="9">
        <f t="shared" si="0"/>
        <v>4582.1804625837831</v>
      </c>
      <c r="D49" s="9">
        <f t="shared" si="1"/>
        <v>-239.66017983561645</v>
      </c>
      <c r="E49" s="9">
        <f t="shared" si="2"/>
        <v>160.69474767039475</v>
      </c>
      <c r="F49" s="9">
        <f t="shared" si="3"/>
        <v>6.4533915430000005E-2</v>
      </c>
      <c r="G49" s="9">
        <f t="shared" si="4"/>
        <v>4503.2795643339905</v>
      </c>
      <c r="H49" s="10">
        <v>-53</v>
      </c>
      <c r="I49" s="11">
        <f t="shared" si="5"/>
        <v>0.45032795643339907</v>
      </c>
      <c r="J49" s="3"/>
      <c r="K49" s="3"/>
      <c r="L49" s="3"/>
      <c r="M49" s="3"/>
      <c r="N49" s="6"/>
      <c r="O49" s="12">
        <v>7123.5578619999997</v>
      </c>
      <c r="P49" s="12">
        <v>-437.37982820000002</v>
      </c>
      <c r="Q49" s="12">
        <v>268.41320489999998</v>
      </c>
      <c r="R49" s="12">
        <v>6.4533915430000005E-2</v>
      </c>
      <c r="S49" s="12">
        <v>6954.6557720000001</v>
      </c>
      <c r="T49" s="3"/>
      <c r="U49" s="3"/>
      <c r="V49" s="9">
        <v>0.64</v>
      </c>
      <c r="W49" s="9">
        <v>1</v>
      </c>
      <c r="X49" s="3"/>
      <c r="Y49" s="3"/>
      <c r="Z49" s="3"/>
    </row>
    <row r="50" spans="1:26" x14ac:dyDescent="0.25">
      <c r="A50" s="3"/>
      <c r="B50" s="3"/>
      <c r="C50" s="9">
        <f t="shared" si="0"/>
        <v>5146.1507462324325</v>
      </c>
      <c r="D50" s="9">
        <f t="shared" si="1"/>
        <v>-268.57228953424652</v>
      </c>
      <c r="E50" s="9">
        <f t="shared" si="2"/>
        <v>179.65790162894737</v>
      </c>
      <c r="F50" s="9">
        <f t="shared" si="3"/>
        <v>-4.0764925289999997E-2</v>
      </c>
      <c r="G50" s="9">
        <f t="shared" si="4"/>
        <v>5057.1955934018424</v>
      </c>
      <c r="H50" s="10">
        <v>-52</v>
      </c>
      <c r="I50" s="11">
        <f t="shared" si="5"/>
        <v>0.5057195593401842</v>
      </c>
      <c r="J50" s="3"/>
      <c r="K50" s="3"/>
      <c r="L50" s="3"/>
      <c r="M50" s="3"/>
      <c r="N50" s="6"/>
      <c r="O50" s="12">
        <v>8000.3183870000003</v>
      </c>
      <c r="P50" s="12">
        <v>-490.14442839999998</v>
      </c>
      <c r="Q50" s="12">
        <v>300.08792360000001</v>
      </c>
      <c r="R50" s="12">
        <v>-4.0764925289999997E-2</v>
      </c>
      <c r="S50" s="12">
        <v>7810.221117</v>
      </c>
      <c r="T50" s="3"/>
      <c r="U50" s="3"/>
      <c r="V50" s="9">
        <v>0.64</v>
      </c>
      <c r="W50" s="9">
        <v>1</v>
      </c>
      <c r="X50" s="3"/>
      <c r="Y50" s="3"/>
      <c r="Z50" s="3"/>
    </row>
    <row r="51" spans="1:26" x14ac:dyDescent="0.25">
      <c r="A51" s="3"/>
      <c r="B51" s="3"/>
      <c r="C51" s="9">
        <f t="shared" si="0"/>
        <v>5733.6132032540536</v>
      </c>
      <c r="D51" s="9">
        <f t="shared" si="1"/>
        <v>-298.15363764383562</v>
      </c>
      <c r="E51" s="9">
        <f t="shared" si="2"/>
        <v>199.04933762828946</v>
      </c>
      <c r="F51" s="9">
        <f t="shared" si="3"/>
        <v>-2.592083677E-2</v>
      </c>
      <c r="G51" s="9">
        <f t="shared" si="4"/>
        <v>5634.4829824017379</v>
      </c>
      <c r="H51" s="10">
        <v>-51</v>
      </c>
      <c r="I51" s="11">
        <f t="shared" si="5"/>
        <v>0.56344829824017384</v>
      </c>
      <c r="J51" s="3"/>
      <c r="K51" s="3"/>
      <c r="L51" s="3"/>
      <c r="M51" s="3"/>
      <c r="N51" s="6"/>
      <c r="O51" s="12">
        <v>8913.6003579999997</v>
      </c>
      <c r="P51" s="12">
        <v>-544.13038870000003</v>
      </c>
      <c r="Q51" s="12">
        <v>332.47801449999997</v>
      </c>
      <c r="R51" s="12">
        <v>-2.592083677E-2</v>
      </c>
      <c r="S51" s="12">
        <v>8701.922063</v>
      </c>
      <c r="T51" s="3"/>
      <c r="U51" s="3"/>
      <c r="V51" s="9">
        <v>0.64</v>
      </c>
      <c r="W51" s="9">
        <v>1</v>
      </c>
      <c r="X51" s="3"/>
      <c r="Y51" s="3"/>
      <c r="Z51" s="3"/>
    </row>
    <row r="52" spans="1:26" x14ac:dyDescent="0.25">
      <c r="A52" s="3"/>
      <c r="B52" s="3"/>
      <c r="C52" s="9">
        <f t="shared" si="0"/>
        <v>6341.6744483513512</v>
      </c>
      <c r="D52" s="9">
        <f t="shared" si="1"/>
        <v>-328.23720904109587</v>
      </c>
      <c r="E52" s="9">
        <f t="shared" si="2"/>
        <v>218.65925349210525</v>
      </c>
      <c r="F52" s="9">
        <f t="shared" si="3"/>
        <v>2.9776775290000002E-2</v>
      </c>
      <c r="G52" s="9">
        <f t="shared" si="4"/>
        <v>6232.1262695776504</v>
      </c>
      <c r="H52" s="10">
        <v>-50</v>
      </c>
      <c r="I52" s="11">
        <f t="shared" si="5"/>
        <v>0.62321262695776503</v>
      </c>
      <c r="J52" s="3"/>
      <c r="K52" s="3"/>
      <c r="L52" s="3"/>
      <c r="M52" s="3"/>
      <c r="N52" s="6"/>
      <c r="O52" s="12">
        <v>9858.9056550000005</v>
      </c>
      <c r="P52" s="12">
        <v>-599.03290649999997</v>
      </c>
      <c r="Q52" s="12">
        <v>365.23303879999997</v>
      </c>
      <c r="R52" s="12">
        <v>2.9776775290000002E-2</v>
      </c>
      <c r="S52" s="12">
        <v>9625.1355640000002</v>
      </c>
      <c r="T52" s="3"/>
      <c r="U52" s="3"/>
      <c r="V52" s="9">
        <v>0.64</v>
      </c>
      <c r="W52" s="9">
        <v>1</v>
      </c>
      <c r="X52" s="3"/>
      <c r="Y52" s="3"/>
      <c r="Z52" s="3"/>
    </row>
    <row r="53" spans="1:26" x14ac:dyDescent="0.25">
      <c r="A53" s="3"/>
      <c r="B53" s="3"/>
      <c r="C53" s="9">
        <f t="shared" si="0"/>
        <v>6964.5814503243237</v>
      </c>
      <c r="D53" s="9">
        <f t="shared" si="1"/>
        <v>-358.41190684931502</v>
      </c>
      <c r="E53" s="9">
        <f t="shared" si="2"/>
        <v>238.08348427500002</v>
      </c>
      <c r="F53" s="9">
        <f t="shared" si="3"/>
        <v>3.06948646E-2</v>
      </c>
      <c r="G53" s="9">
        <f t="shared" si="4"/>
        <v>6844.2837226146094</v>
      </c>
      <c r="H53" s="10">
        <v>-49</v>
      </c>
      <c r="I53" s="11">
        <f t="shared" si="5"/>
        <v>0.68442837226146092</v>
      </c>
      <c r="J53" s="3"/>
      <c r="K53" s="3"/>
      <c r="L53" s="3"/>
      <c r="M53" s="3"/>
      <c r="N53" s="6"/>
      <c r="O53" s="12">
        <v>10827.290489999999</v>
      </c>
      <c r="P53" s="12">
        <v>-654.10172999999998</v>
      </c>
      <c r="Q53" s="12">
        <v>397.67790780000001</v>
      </c>
      <c r="R53" s="12">
        <v>3.06948646E-2</v>
      </c>
      <c r="S53" s="12">
        <v>10570.897370000001</v>
      </c>
      <c r="T53" s="3"/>
      <c r="U53" s="3"/>
      <c r="V53" s="9">
        <v>0.64</v>
      </c>
      <c r="W53" s="9">
        <v>1</v>
      </c>
      <c r="X53" s="3"/>
      <c r="Y53" s="3"/>
      <c r="Z53" s="3"/>
    </row>
    <row r="54" spans="1:26" x14ac:dyDescent="0.25">
      <c r="A54" s="3"/>
      <c r="B54" s="3"/>
      <c r="C54" s="9">
        <f t="shared" si="0"/>
        <v>7598.0258154594594</v>
      </c>
      <c r="D54" s="9">
        <f t="shared" si="1"/>
        <v>-388.27079221917802</v>
      </c>
      <c r="E54" s="9">
        <f t="shared" si="2"/>
        <v>257.04849271776317</v>
      </c>
      <c r="F54" s="9">
        <f t="shared" si="3"/>
        <v>1.544609911E-2</v>
      </c>
      <c r="G54" s="9">
        <f t="shared" si="4"/>
        <v>7466.8189620571538</v>
      </c>
      <c r="H54" s="10">
        <v>-48</v>
      </c>
      <c r="I54" s="11">
        <f t="shared" si="5"/>
        <v>0.74668189620571535</v>
      </c>
      <c r="J54" s="3"/>
      <c r="K54" s="3"/>
      <c r="L54" s="3"/>
      <c r="M54" s="3"/>
      <c r="N54" s="6"/>
      <c r="O54" s="12">
        <v>11812.05694</v>
      </c>
      <c r="P54" s="12">
        <v>-708.59419579999997</v>
      </c>
      <c r="Q54" s="12">
        <v>429.35572409999997</v>
      </c>
      <c r="R54" s="12">
        <v>1.544609911E-2</v>
      </c>
      <c r="S54" s="12">
        <v>11532.833919999999</v>
      </c>
      <c r="T54" s="3"/>
      <c r="U54" s="3"/>
      <c r="V54" s="9">
        <v>0.64</v>
      </c>
      <c r="W54" s="9">
        <v>1</v>
      </c>
      <c r="X54" s="3"/>
      <c r="Y54" s="3"/>
      <c r="Z54" s="3"/>
    </row>
    <row r="55" spans="1:26" x14ac:dyDescent="0.25">
      <c r="A55" s="3"/>
      <c r="B55" s="3"/>
      <c r="C55" s="9">
        <f t="shared" si="0"/>
        <v>8240.2901068108113</v>
      </c>
      <c r="D55" s="9">
        <f t="shared" si="1"/>
        <v>-417.59514158904108</v>
      </c>
      <c r="E55" s="9">
        <f t="shared" si="2"/>
        <v>275.42845581447369</v>
      </c>
      <c r="F55" s="9">
        <f t="shared" si="3"/>
        <v>4.2579962149999998E-2</v>
      </c>
      <c r="G55" s="9">
        <f t="shared" si="4"/>
        <v>8098.1660009983934</v>
      </c>
      <c r="H55" s="10">
        <v>-47</v>
      </c>
      <c r="I55" s="11">
        <f t="shared" si="5"/>
        <v>0.80981660009983936</v>
      </c>
      <c r="J55" s="3"/>
      <c r="K55" s="3"/>
      <c r="L55" s="3"/>
      <c r="M55" s="3"/>
      <c r="N55" s="6"/>
      <c r="O55" s="12">
        <v>12810.535040000001</v>
      </c>
      <c r="P55" s="12">
        <v>-762.11113339999997</v>
      </c>
      <c r="Q55" s="12">
        <v>460.05632179999998</v>
      </c>
      <c r="R55" s="12">
        <v>4.2579962149999998E-2</v>
      </c>
      <c r="S55" s="12">
        <v>12508.522800000001</v>
      </c>
      <c r="T55" s="3"/>
      <c r="U55" s="3"/>
      <c r="V55" s="9">
        <v>0.64</v>
      </c>
      <c r="W55" s="9">
        <v>1</v>
      </c>
      <c r="X55" s="3"/>
      <c r="Y55" s="3"/>
      <c r="Z55" s="3"/>
    </row>
    <row r="56" spans="1:26" x14ac:dyDescent="0.25">
      <c r="A56" s="3"/>
      <c r="B56" s="3"/>
      <c r="C56" s="9">
        <f t="shared" si="0"/>
        <v>8896.9211588108101</v>
      </c>
      <c r="D56" s="9">
        <f t="shared" si="1"/>
        <v>-446.82452147945202</v>
      </c>
      <c r="E56" s="9">
        <f t="shared" si="2"/>
        <v>293.43874577960531</v>
      </c>
      <c r="F56" s="9">
        <f t="shared" si="3"/>
        <v>5.1977980360000002E-2</v>
      </c>
      <c r="G56" s="9">
        <f t="shared" si="4"/>
        <v>8743.5873610913241</v>
      </c>
      <c r="H56" s="10">
        <v>-46</v>
      </c>
      <c r="I56" s="11">
        <f t="shared" si="5"/>
        <v>0.8743587361091324</v>
      </c>
      <c r="J56" s="3"/>
      <c r="K56" s="3"/>
      <c r="L56" s="3"/>
      <c r="M56" s="3"/>
      <c r="N56" s="6"/>
      <c r="O56" s="12">
        <v>13831.348019999999</v>
      </c>
      <c r="P56" s="12">
        <v>-815.45475169999997</v>
      </c>
      <c r="Q56" s="12">
        <v>490.13944350000003</v>
      </c>
      <c r="R56" s="12">
        <v>5.1977980360000002E-2</v>
      </c>
      <c r="S56" s="12">
        <v>13506.08469</v>
      </c>
      <c r="T56" s="3"/>
      <c r="U56" s="3"/>
      <c r="V56" s="9">
        <v>0.64</v>
      </c>
      <c r="W56" s="9">
        <v>1</v>
      </c>
      <c r="X56" s="3"/>
      <c r="Y56" s="3"/>
      <c r="Z56" s="3"/>
    </row>
    <row r="57" spans="1:26" x14ac:dyDescent="0.25">
      <c r="A57" s="3"/>
      <c r="B57" s="3"/>
      <c r="C57" s="9">
        <f t="shared" si="0"/>
        <v>9566.0386042162172</v>
      </c>
      <c r="D57" s="9">
        <f t="shared" si="1"/>
        <v>-475.79271128767124</v>
      </c>
      <c r="E57" s="9">
        <f t="shared" si="2"/>
        <v>310.90999963947371</v>
      </c>
      <c r="F57" s="9">
        <f t="shared" si="3"/>
        <v>2.9242428149999999E-2</v>
      </c>
      <c r="G57" s="9">
        <f t="shared" si="4"/>
        <v>9401.1851349961707</v>
      </c>
      <c r="H57" s="10">
        <v>-45</v>
      </c>
      <c r="I57" s="11">
        <f t="shared" si="5"/>
        <v>0.94011851349961706</v>
      </c>
      <c r="J57" s="3"/>
      <c r="K57" s="3"/>
      <c r="L57" s="3"/>
      <c r="M57" s="3"/>
      <c r="N57" s="6"/>
      <c r="O57" s="12">
        <v>14871.572620000001</v>
      </c>
      <c r="P57" s="12">
        <v>-868.32169810000005</v>
      </c>
      <c r="Q57" s="12">
        <v>519.32219720000001</v>
      </c>
      <c r="R57" s="12">
        <v>2.9242428149999999E-2</v>
      </c>
      <c r="S57" s="12">
        <v>14522.602360000001</v>
      </c>
      <c r="T57" s="3"/>
      <c r="U57" s="3"/>
      <c r="V57" s="9">
        <v>0.64</v>
      </c>
      <c r="W57" s="9">
        <v>1</v>
      </c>
      <c r="X57" s="3"/>
      <c r="Y57" s="3"/>
      <c r="Z57" s="3"/>
    </row>
    <row r="58" spans="1:26" x14ac:dyDescent="0.25">
      <c r="A58" s="3"/>
      <c r="B58" s="3"/>
      <c r="C58" s="9">
        <f t="shared" si="0"/>
        <v>10250.779546756756</v>
      </c>
      <c r="D58" s="9">
        <f t="shared" si="1"/>
        <v>-504.7342986849315</v>
      </c>
      <c r="E58" s="9">
        <f t="shared" si="2"/>
        <v>328.03391332434211</v>
      </c>
      <c r="F58" s="9">
        <f t="shared" si="3"/>
        <v>4.4520070100000003E-2</v>
      </c>
      <c r="G58" s="9">
        <f t="shared" si="4"/>
        <v>10074.123681466266</v>
      </c>
      <c r="H58" s="10">
        <v>-44</v>
      </c>
      <c r="I58" s="11">
        <f t="shared" si="5"/>
        <v>1.0074123681466267</v>
      </c>
      <c r="J58" s="3"/>
      <c r="K58" s="3"/>
      <c r="L58" s="3"/>
      <c r="M58" s="3"/>
      <c r="N58" s="6"/>
      <c r="O58" s="12">
        <v>15936.085849999999</v>
      </c>
      <c r="P58" s="12">
        <v>-921.14009510000005</v>
      </c>
      <c r="Q58" s="12">
        <v>547.92477829999996</v>
      </c>
      <c r="R58" s="12">
        <v>4.4520070100000003E-2</v>
      </c>
      <c r="S58" s="12">
        <v>15562.915059999999</v>
      </c>
      <c r="T58" s="3"/>
      <c r="U58" s="3"/>
      <c r="V58" s="9">
        <v>0.64</v>
      </c>
      <c r="W58" s="9">
        <v>1</v>
      </c>
      <c r="X58" s="3"/>
      <c r="Y58" s="3"/>
      <c r="Z58" s="3"/>
    </row>
    <row r="59" spans="1:26" x14ac:dyDescent="0.25">
      <c r="A59" s="3"/>
      <c r="B59" s="3"/>
      <c r="C59" s="9">
        <f t="shared" si="0"/>
        <v>10952.665050864865</v>
      </c>
      <c r="D59" s="9">
        <f t="shared" si="1"/>
        <v>-533.79965342465755</v>
      </c>
      <c r="E59" s="9">
        <f t="shared" si="2"/>
        <v>344.82399728092105</v>
      </c>
      <c r="F59" s="9">
        <f t="shared" si="3"/>
        <v>5.7995010850000001E-2</v>
      </c>
      <c r="G59" s="9">
        <f t="shared" si="4"/>
        <v>10763.747389731978</v>
      </c>
      <c r="H59" s="10">
        <v>-43</v>
      </c>
      <c r="I59" s="11">
        <f t="shared" si="5"/>
        <v>1.0763747389731977</v>
      </c>
      <c r="J59" s="3"/>
      <c r="K59" s="3"/>
      <c r="L59" s="3"/>
      <c r="M59" s="3"/>
      <c r="N59" s="6"/>
      <c r="O59" s="12">
        <v>17027.252390000001</v>
      </c>
      <c r="P59" s="12">
        <v>-974.18436750000001</v>
      </c>
      <c r="Q59" s="12">
        <v>575.96975369999996</v>
      </c>
      <c r="R59" s="12">
        <v>5.7995010850000001E-2</v>
      </c>
      <c r="S59" s="12">
        <v>16629.09577</v>
      </c>
      <c r="T59" s="3"/>
      <c r="U59" s="3"/>
      <c r="V59" s="9">
        <v>0.64</v>
      </c>
      <c r="W59" s="9">
        <v>1</v>
      </c>
      <c r="X59" s="3"/>
      <c r="Y59" s="3"/>
      <c r="Z59" s="3"/>
    </row>
    <row r="60" spans="1:26" x14ac:dyDescent="0.25">
      <c r="A60" s="3"/>
      <c r="B60" s="3"/>
      <c r="C60" s="9">
        <f t="shared" si="0"/>
        <v>11674.139530918919</v>
      </c>
      <c r="D60" s="9">
        <f t="shared" si="1"/>
        <v>-563.3843879452055</v>
      </c>
      <c r="E60" s="9">
        <f t="shared" si="2"/>
        <v>361.48933598289477</v>
      </c>
      <c r="F60" s="9">
        <f t="shared" si="3"/>
        <v>4.8973602900000003E-2</v>
      </c>
      <c r="G60" s="9">
        <f t="shared" si="4"/>
        <v>11472.293452559508</v>
      </c>
      <c r="H60" s="10">
        <v>-42</v>
      </c>
      <c r="I60" s="11">
        <f t="shared" si="5"/>
        <v>1.1472293452559508</v>
      </c>
      <c r="J60" s="3"/>
      <c r="K60" s="3"/>
      <c r="L60" s="3"/>
      <c r="M60" s="3"/>
      <c r="N60" s="6"/>
      <c r="O60" s="12">
        <v>18148.872380000001</v>
      </c>
      <c r="P60" s="12">
        <v>-1028.176508</v>
      </c>
      <c r="Q60" s="12">
        <v>603.80636340000001</v>
      </c>
      <c r="R60" s="12">
        <v>4.8973602900000003E-2</v>
      </c>
      <c r="S60" s="12">
        <v>17724.551210000001</v>
      </c>
      <c r="T60" s="3"/>
      <c r="U60" s="3"/>
      <c r="V60" s="9">
        <v>0.64</v>
      </c>
      <c r="W60" s="9">
        <v>1</v>
      </c>
      <c r="X60" s="3"/>
      <c r="Y60" s="3"/>
      <c r="Z60" s="3"/>
    </row>
    <row r="61" spans="1:26" x14ac:dyDescent="0.25">
      <c r="A61" s="3"/>
      <c r="B61" s="3"/>
      <c r="C61" s="9">
        <f t="shared" si="0"/>
        <v>12417.154522594594</v>
      </c>
      <c r="D61" s="9">
        <f t="shared" si="1"/>
        <v>-593.91207890410953</v>
      </c>
      <c r="E61" s="9">
        <f t="shared" si="2"/>
        <v>378.29666833092108</v>
      </c>
      <c r="F61" s="9">
        <f t="shared" si="3"/>
        <v>4.0386655319999999E-2</v>
      </c>
      <c r="G61" s="9">
        <f t="shared" si="4"/>
        <v>12201.579498676725</v>
      </c>
      <c r="H61" s="10">
        <v>-41</v>
      </c>
      <c r="I61" s="11">
        <f t="shared" si="5"/>
        <v>1.2201579498676725</v>
      </c>
      <c r="J61" s="3"/>
      <c r="K61" s="3"/>
      <c r="L61" s="3"/>
      <c r="M61" s="3"/>
      <c r="N61" s="6"/>
      <c r="O61" s="12">
        <v>19303.979719999999</v>
      </c>
      <c r="P61" s="12">
        <v>-1083.8895439999999</v>
      </c>
      <c r="Q61" s="12">
        <v>631.88014929999997</v>
      </c>
      <c r="R61" s="12">
        <v>4.0386655319999999E-2</v>
      </c>
      <c r="S61" s="12">
        <v>18852.010709999999</v>
      </c>
      <c r="T61" s="3"/>
      <c r="U61" s="3"/>
      <c r="V61" s="9">
        <v>0.64</v>
      </c>
      <c r="W61" s="9">
        <v>1</v>
      </c>
      <c r="X61" s="3"/>
      <c r="Y61" s="3"/>
      <c r="Z61" s="3"/>
    </row>
    <row r="62" spans="1:26" x14ac:dyDescent="0.25">
      <c r="A62" s="3"/>
      <c r="B62" s="3"/>
      <c r="C62" s="9">
        <f t="shared" si="0"/>
        <v>13180.489291729731</v>
      </c>
      <c r="D62" s="9">
        <f t="shared" si="1"/>
        <v>-625.51112547945206</v>
      </c>
      <c r="E62" s="9">
        <f t="shared" si="2"/>
        <v>395.26746978618422</v>
      </c>
      <c r="F62" s="9">
        <f t="shared" si="3"/>
        <v>3.6057559099999997E-2</v>
      </c>
      <c r="G62" s="9">
        <f t="shared" si="4"/>
        <v>12950.281693595563</v>
      </c>
      <c r="H62" s="10">
        <v>-40</v>
      </c>
      <c r="I62" s="11">
        <f t="shared" si="5"/>
        <v>1.2950281693595564</v>
      </c>
      <c r="J62" s="3"/>
      <c r="K62" s="3"/>
      <c r="L62" s="3"/>
      <c r="M62" s="3"/>
      <c r="N62" s="6"/>
      <c r="O62" s="12">
        <v>20490.676630000002</v>
      </c>
      <c r="P62" s="12">
        <v>-1141.557804</v>
      </c>
      <c r="Q62" s="12">
        <v>660.22698249999996</v>
      </c>
      <c r="R62" s="12">
        <v>3.6057559099999997E-2</v>
      </c>
      <c r="S62" s="12">
        <v>20009.381870000001</v>
      </c>
      <c r="T62" s="3"/>
      <c r="U62" s="3"/>
      <c r="V62" s="9">
        <v>0.64</v>
      </c>
      <c r="W62" s="9">
        <v>1</v>
      </c>
      <c r="X62" s="3"/>
      <c r="Y62" s="3"/>
      <c r="Z62" s="3"/>
    </row>
    <row r="63" spans="1:26" x14ac:dyDescent="0.25">
      <c r="A63" s="3"/>
      <c r="B63" s="3"/>
      <c r="C63" s="9">
        <f t="shared" si="0"/>
        <v>13963.274109135134</v>
      </c>
      <c r="D63" s="9">
        <f t="shared" si="1"/>
        <v>-658.5695884931506</v>
      </c>
      <c r="E63" s="9">
        <f t="shared" si="2"/>
        <v>412.61855030328951</v>
      </c>
      <c r="F63" s="9">
        <f t="shared" si="3"/>
        <v>4.9813244940000001E-2</v>
      </c>
      <c r="G63" s="9">
        <f t="shared" si="4"/>
        <v>13717.372884190214</v>
      </c>
      <c r="H63" s="10">
        <v>-39</v>
      </c>
      <c r="I63" s="11">
        <f t="shared" si="5"/>
        <v>1.3717372884190213</v>
      </c>
      <c r="J63" s="3"/>
      <c r="K63" s="3"/>
      <c r="L63" s="3"/>
      <c r="M63" s="3"/>
      <c r="N63" s="6"/>
      <c r="O63" s="12">
        <v>21707.611010000001</v>
      </c>
      <c r="P63" s="12">
        <v>-1201.8894989999999</v>
      </c>
      <c r="Q63" s="12">
        <v>689.20900710000001</v>
      </c>
      <c r="R63" s="12">
        <v>4.9813244940000001E-2</v>
      </c>
      <c r="S63" s="12">
        <v>21194.980339999998</v>
      </c>
      <c r="T63" s="3"/>
      <c r="U63" s="3"/>
      <c r="V63" s="9">
        <v>0.64</v>
      </c>
      <c r="W63" s="9">
        <v>1</v>
      </c>
      <c r="X63" s="3"/>
      <c r="Y63" s="3"/>
      <c r="Z63" s="3"/>
    </row>
    <row r="64" spans="1:26" x14ac:dyDescent="0.25">
      <c r="A64" s="3"/>
      <c r="B64" s="3"/>
      <c r="C64" s="9">
        <f t="shared" si="0"/>
        <v>14762.321325027027</v>
      </c>
      <c r="D64" s="9">
        <f t="shared" si="1"/>
        <v>-693.42675287671227</v>
      </c>
      <c r="E64" s="9">
        <f t="shared" si="2"/>
        <v>430.48456982631581</v>
      </c>
      <c r="F64" s="9">
        <f t="shared" si="3"/>
        <v>5.4963068820000002E-2</v>
      </c>
      <c r="G64" s="9">
        <f t="shared" si="4"/>
        <v>14499.434105045451</v>
      </c>
      <c r="H64" s="10">
        <v>-38</v>
      </c>
      <c r="I64" s="11">
        <f t="shared" si="5"/>
        <v>1.4499434105045452</v>
      </c>
      <c r="J64" s="3"/>
      <c r="K64" s="3"/>
      <c r="L64" s="3"/>
      <c r="M64" s="3"/>
      <c r="N64" s="6"/>
      <c r="O64" s="12">
        <v>22949.827270000002</v>
      </c>
      <c r="P64" s="12">
        <v>-1265.5038239999999</v>
      </c>
      <c r="Q64" s="12">
        <v>719.05114960000003</v>
      </c>
      <c r="R64" s="12">
        <v>5.4963068820000002E-2</v>
      </c>
      <c r="S64" s="12">
        <v>22403.42956</v>
      </c>
      <c r="T64" s="3"/>
      <c r="U64" s="3"/>
      <c r="V64" s="9">
        <v>0.64</v>
      </c>
      <c r="W64" s="9">
        <v>1</v>
      </c>
      <c r="X64" s="3"/>
      <c r="Y64" s="3"/>
      <c r="Z64" s="3"/>
    </row>
    <row r="65" spans="1:26" x14ac:dyDescent="0.25">
      <c r="A65" s="3"/>
      <c r="B65" s="3"/>
      <c r="C65" s="9">
        <f t="shared" si="0"/>
        <v>15572.675142594593</v>
      </c>
      <c r="D65" s="9">
        <f t="shared" si="1"/>
        <v>-730.45542630136993</v>
      </c>
      <c r="E65" s="9">
        <f t="shared" si="2"/>
        <v>449.05157085065792</v>
      </c>
      <c r="F65" s="9">
        <f t="shared" si="3"/>
        <v>5.4389412390000003E-2</v>
      </c>
      <c r="G65" s="9">
        <f t="shared" si="4"/>
        <v>15291.325676556269</v>
      </c>
      <c r="H65" s="10">
        <v>-37</v>
      </c>
      <c r="I65" s="11">
        <f t="shared" si="5"/>
        <v>1.5291325676556269</v>
      </c>
      <c r="J65" s="3"/>
      <c r="K65" s="3"/>
      <c r="L65" s="3"/>
      <c r="M65" s="3"/>
      <c r="N65" s="6"/>
      <c r="O65" s="12">
        <v>24209.621019999999</v>
      </c>
      <c r="P65" s="12">
        <v>-1333.0811530000001</v>
      </c>
      <c r="Q65" s="12">
        <v>750.06416230000002</v>
      </c>
      <c r="R65" s="12">
        <v>5.4389412390000003E-2</v>
      </c>
      <c r="S65" s="12">
        <v>23626.65842</v>
      </c>
      <c r="T65" s="3"/>
      <c r="U65" s="3"/>
      <c r="V65" s="9">
        <v>0.64</v>
      </c>
      <c r="W65" s="9">
        <v>1</v>
      </c>
      <c r="X65" s="3"/>
      <c r="Y65" s="3"/>
      <c r="Z65" s="3"/>
    </row>
    <row r="66" spans="1:26" x14ac:dyDescent="0.25">
      <c r="A66" s="3"/>
      <c r="B66" s="3"/>
      <c r="C66" s="9">
        <f t="shared" si="0"/>
        <v>16387.672095729729</v>
      </c>
      <c r="D66" s="9">
        <f t="shared" si="1"/>
        <v>-769.98162246575339</v>
      </c>
      <c r="E66" s="9">
        <f t="shared" si="2"/>
        <v>468.46783967236848</v>
      </c>
      <c r="F66" s="9">
        <f t="shared" si="3"/>
        <v>5.7542003580000001E-2</v>
      </c>
      <c r="G66" s="9">
        <f t="shared" si="4"/>
        <v>16086.215854939925</v>
      </c>
      <c r="H66" s="10">
        <v>-36</v>
      </c>
      <c r="I66" s="11">
        <f t="shared" si="5"/>
        <v>1.6086215854939925</v>
      </c>
      <c r="J66" s="3"/>
      <c r="K66" s="3"/>
      <c r="L66" s="3"/>
      <c r="M66" s="3"/>
      <c r="N66" s="6"/>
      <c r="O66" s="12">
        <v>25476.633089999999</v>
      </c>
      <c r="P66" s="12">
        <v>-1405.216461</v>
      </c>
      <c r="Q66" s="12">
        <v>782.49573220000002</v>
      </c>
      <c r="R66" s="12">
        <v>5.7542003580000001E-2</v>
      </c>
      <c r="S66" s="12">
        <v>24853.9699</v>
      </c>
      <c r="T66" s="3"/>
      <c r="U66" s="3"/>
      <c r="V66" s="9">
        <v>0.64</v>
      </c>
      <c r="W66" s="9">
        <v>1</v>
      </c>
      <c r="X66" s="3"/>
      <c r="Y66" s="3"/>
      <c r="Z66" s="3"/>
    </row>
    <row r="67" spans="1:26" x14ac:dyDescent="0.25">
      <c r="A67" s="3"/>
      <c r="B67" s="3"/>
      <c r="C67" s="9">
        <f t="shared" ref="C67:C130" si="7">($B$3/185)*O67</f>
        <v>17199.117265513512</v>
      </c>
      <c r="D67" s="9">
        <f t="shared" ref="D67:D130" si="8">($B$4/(-146))*P67</f>
        <v>-812.30072821917804</v>
      </c>
      <c r="E67" s="9">
        <f t="shared" ref="E67:E130" si="9">($B$5/152)*Q67</f>
        <v>488.83163689407894</v>
      </c>
      <c r="F67" s="9">
        <f t="shared" ref="F67:F130" si="10">R67</f>
        <v>5.7990335720000001E-2</v>
      </c>
      <c r="G67" s="9">
        <f t="shared" ref="G67:G130" si="11">SUM(C67:F67)</f>
        <v>16875.706164524134</v>
      </c>
      <c r="H67" s="10">
        <v>-35</v>
      </c>
      <c r="I67" s="11">
        <f t="shared" ref="I67:I130" si="12">G67/10000</f>
        <v>1.6875706164524134</v>
      </c>
      <c r="J67" s="3"/>
      <c r="K67" s="3"/>
      <c r="L67" s="3"/>
      <c r="M67" s="3"/>
      <c r="N67" s="6"/>
      <c r="O67" s="12">
        <v>26738.123479999998</v>
      </c>
      <c r="P67" s="12">
        <v>-1482.4488289999999</v>
      </c>
      <c r="Q67" s="12">
        <v>816.50998689999994</v>
      </c>
      <c r="R67" s="12">
        <v>5.7990335720000001E-2</v>
      </c>
      <c r="S67" s="12">
        <v>26072.242630000001</v>
      </c>
      <c r="T67" s="3"/>
      <c r="U67" s="3"/>
      <c r="V67" s="9">
        <v>0.64</v>
      </c>
      <c r="W67" s="9">
        <v>1</v>
      </c>
      <c r="X67" s="3"/>
      <c r="Y67" s="3"/>
      <c r="Z67" s="3"/>
    </row>
    <row r="68" spans="1:26" x14ac:dyDescent="0.25">
      <c r="A68" s="3"/>
      <c r="B68" s="3"/>
      <c r="C68" s="9">
        <f t="shared" si="7"/>
        <v>17997.265343135135</v>
      </c>
      <c r="D68" s="9">
        <f t="shared" si="8"/>
        <v>-857.76140931506836</v>
      </c>
      <c r="E68" s="9">
        <f t="shared" si="9"/>
        <v>510.29161317105269</v>
      </c>
      <c r="F68" s="9">
        <f t="shared" si="10"/>
        <v>6.0748040869999999E-2</v>
      </c>
      <c r="G68" s="9">
        <f t="shared" si="11"/>
        <v>17649.856295031987</v>
      </c>
      <c r="H68" s="10">
        <v>-34</v>
      </c>
      <c r="I68" s="11">
        <f t="shared" si="12"/>
        <v>1.7649856295031987</v>
      </c>
      <c r="J68" s="3"/>
      <c r="K68" s="3"/>
      <c r="L68" s="3"/>
      <c r="M68" s="3"/>
      <c r="N68" s="6"/>
      <c r="O68" s="12">
        <v>27978.941920000001</v>
      </c>
      <c r="P68" s="12">
        <v>-1565.4145719999999</v>
      </c>
      <c r="Q68" s="12">
        <v>852.35522200000003</v>
      </c>
      <c r="R68" s="12">
        <v>6.0748040869999999E-2</v>
      </c>
      <c r="S68" s="12">
        <v>27265.943319999998</v>
      </c>
      <c r="T68" s="3"/>
      <c r="U68" s="3"/>
      <c r="V68" s="9">
        <v>0.64</v>
      </c>
      <c r="W68" s="9">
        <v>1</v>
      </c>
      <c r="X68" s="3"/>
      <c r="Y68" s="3"/>
      <c r="Z68" s="3"/>
    </row>
    <row r="69" spans="1:26" x14ac:dyDescent="0.25">
      <c r="A69" s="3"/>
      <c r="B69" s="3"/>
      <c r="C69" s="9">
        <f t="shared" si="7"/>
        <v>18771.624767567566</v>
      </c>
      <c r="D69" s="9">
        <f t="shared" si="8"/>
        <v>-906.61766136986307</v>
      </c>
      <c r="E69" s="9">
        <f t="shared" si="9"/>
        <v>532.8923271322368</v>
      </c>
      <c r="F69" s="9">
        <f t="shared" si="10"/>
        <v>6.2532832029999999E-2</v>
      </c>
      <c r="G69" s="9">
        <f t="shared" si="11"/>
        <v>18397.961966161973</v>
      </c>
      <c r="H69" s="10">
        <v>-33</v>
      </c>
      <c r="I69" s="11">
        <f t="shared" si="12"/>
        <v>1.8397961966161973</v>
      </c>
      <c r="J69" s="3"/>
      <c r="K69" s="3"/>
      <c r="L69" s="3"/>
      <c r="M69" s="3"/>
      <c r="N69" s="6"/>
      <c r="O69" s="12">
        <v>29182.777999999998</v>
      </c>
      <c r="P69" s="12">
        <v>-1654.5772320000001</v>
      </c>
      <c r="Q69" s="12">
        <v>890.10586509999996</v>
      </c>
      <c r="R69" s="12">
        <v>6.2532832029999999E-2</v>
      </c>
      <c r="S69" s="12">
        <v>28418.369170000002</v>
      </c>
      <c r="T69" s="3"/>
      <c r="U69" s="3"/>
      <c r="V69" s="9">
        <v>0.64</v>
      </c>
      <c r="W69" s="9">
        <v>1</v>
      </c>
      <c r="X69" s="3"/>
      <c r="Y69" s="3"/>
      <c r="Z69" s="3"/>
    </row>
    <row r="70" spans="1:26" x14ac:dyDescent="0.25">
      <c r="A70" s="3"/>
      <c r="B70" s="3"/>
      <c r="C70" s="9">
        <f t="shared" si="7"/>
        <v>19510.662213189189</v>
      </c>
      <c r="D70" s="9">
        <f t="shared" si="8"/>
        <v>-959.18440328767122</v>
      </c>
      <c r="E70" s="9">
        <f t="shared" si="9"/>
        <v>556.72494634934219</v>
      </c>
      <c r="F70" s="9">
        <f t="shared" si="10"/>
        <v>5.9850439999999998E-2</v>
      </c>
      <c r="G70" s="9">
        <f t="shared" si="11"/>
        <v>19108.26260669086</v>
      </c>
      <c r="H70" s="10">
        <v>-32</v>
      </c>
      <c r="I70" s="11">
        <f t="shared" si="12"/>
        <v>1.910826260669086</v>
      </c>
      <c r="J70" s="3"/>
      <c r="K70" s="3"/>
      <c r="L70" s="3"/>
      <c r="M70" s="3"/>
      <c r="N70" s="6"/>
      <c r="O70" s="12">
        <v>30331.70176</v>
      </c>
      <c r="P70" s="12">
        <v>-1750.511536</v>
      </c>
      <c r="Q70" s="12">
        <v>929.91419610000003</v>
      </c>
      <c r="R70" s="12">
        <v>5.9850439999999998E-2</v>
      </c>
      <c r="S70" s="12">
        <v>29511.164270000001</v>
      </c>
      <c r="T70" s="3"/>
      <c r="U70" s="3"/>
      <c r="V70" s="9">
        <v>0.64</v>
      </c>
      <c r="W70" s="9">
        <v>1</v>
      </c>
      <c r="X70" s="3"/>
      <c r="Y70" s="3"/>
      <c r="Z70" s="3"/>
    </row>
    <row r="71" spans="1:26" x14ac:dyDescent="0.25">
      <c r="A71" s="3"/>
      <c r="B71" s="3"/>
      <c r="C71" s="9">
        <f t="shared" si="7"/>
        <v>20202.178083027025</v>
      </c>
      <c r="D71" s="9">
        <f t="shared" si="8"/>
        <v>-1015.8340964383561</v>
      </c>
      <c r="E71" s="9">
        <f t="shared" si="9"/>
        <v>581.94186858223691</v>
      </c>
      <c r="F71" s="9">
        <f t="shared" si="10"/>
        <v>6.2910334530000001E-2</v>
      </c>
      <c r="G71" s="9">
        <f t="shared" si="11"/>
        <v>19768.348765505438</v>
      </c>
      <c r="H71" s="10">
        <v>-31</v>
      </c>
      <c r="I71" s="11">
        <f t="shared" si="12"/>
        <v>1.9768348765505437</v>
      </c>
      <c r="J71" s="3"/>
      <c r="K71" s="3"/>
      <c r="L71" s="3"/>
      <c r="M71" s="3"/>
      <c r="N71" s="6"/>
      <c r="O71" s="12">
        <v>31406.747439999999</v>
      </c>
      <c r="P71" s="12">
        <v>-1853.897226</v>
      </c>
      <c r="Q71" s="12">
        <v>972.03476950000004</v>
      </c>
      <c r="R71" s="12">
        <v>6.2910334530000001E-2</v>
      </c>
      <c r="S71" s="12">
        <v>30524.947889999999</v>
      </c>
      <c r="T71" s="3"/>
      <c r="U71" s="3"/>
      <c r="V71" s="9">
        <v>0.64</v>
      </c>
      <c r="W71" s="9">
        <v>1</v>
      </c>
      <c r="X71" s="3"/>
      <c r="Y71" s="3"/>
      <c r="Z71" s="3"/>
    </row>
    <row r="72" spans="1:26" x14ac:dyDescent="0.25">
      <c r="A72" s="3"/>
      <c r="B72" s="3"/>
      <c r="C72" s="9">
        <f t="shared" si="7"/>
        <v>20834.414733243244</v>
      </c>
      <c r="D72" s="9">
        <f t="shared" si="8"/>
        <v>-1076.8269769863014</v>
      </c>
      <c r="E72" s="9">
        <f t="shared" si="9"/>
        <v>608.56974467763166</v>
      </c>
      <c r="F72" s="9">
        <f t="shared" si="10"/>
        <v>6.0225104770000003E-2</v>
      </c>
      <c r="G72" s="9">
        <f t="shared" si="11"/>
        <v>20366.217726039347</v>
      </c>
      <c r="H72" s="10">
        <v>-30</v>
      </c>
      <c r="I72" s="11">
        <f t="shared" si="12"/>
        <v>2.0366217726039348</v>
      </c>
      <c r="J72" s="3"/>
      <c r="K72" s="3"/>
      <c r="L72" s="3"/>
      <c r="M72" s="3"/>
      <c r="N72" s="6"/>
      <c r="O72" s="12">
        <v>32389.636350000001</v>
      </c>
      <c r="P72" s="12">
        <v>-1965.209233</v>
      </c>
      <c r="Q72" s="12">
        <v>1016.512101</v>
      </c>
      <c r="R72" s="12">
        <v>6.0225104770000003E-2</v>
      </c>
      <c r="S72" s="12">
        <v>31440.999449999999</v>
      </c>
      <c r="T72" s="3"/>
      <c r="U72" s="3"/>
      <c r="V72" s="9">
        <v>0.64</v>
      </c>
      <c r="W72" s="9">
        <v>1</v>
      </c>
      <c r="X72" s="3"/>
      <c r="Y72" s="3"/>
      <c r="Z72" s="3"/>
    </row>
    <row r="73" spans="1:26" x14ac:dyDescent="0.25">
      <c r="A73" s="3"/>
      <c r="B73" s="3"/>
      <c r="C73" s="9">
        <f t="shared" si="7"/>
        <v>21395.353800648649</v>
      </c>
      <c r="D73" s="9">
        <f t="shared" si="8"/>
        <v>-1142.5172263013699</v>
      </c>
      <c r="E73" s="9">
        <f t="shared" si="9"/>
        <v>636.75833992105265</v>
      </c>
      <c r="F73" s="9">
        <f t="shared" si="10"/>
        <v>5.0546367359999997E-2</v>
      </c>
      <c r="G73" s="9">
        <f t="shared" si="11"/>
        <v>20889.645460635693</v>
      </c>
      <c r="H73" s="10">
        <v>-29</v>
      </c>
      <c r="I73" s="11">
        <f t="shared" si="12"/>
        <v>2.0889645460635693</v>
      </c>
      <c r="J73" s="3"/>
      <c r="K73" s="3"/>
      <c r="L73" s="3"/>
      <c r="M73" s="3"/>
      <c r="N73" s="6"/>
      <c r="O73" s="12">
        <v>33261.684480000004</v>
      </c>
      <c r="P73" s="12">
        <v>-2085.093938</v>
      </c>
      <c r="Q73" s="12">
        <v>1063.596348</v>
      </c>
      <c r="R73" s="12">
        <v>5.0546367359999997E-2</v>
      </c>
      <c r="S73" s="12">
        <v>32240.237430000001</v>
      </c>
      <c r="T73" s="3"/>
      <c r="U73" s="3"/>
      <c r="V73" s="9">
        <v>0.64</v>
      </c>
      <c r="W73" s="9">
        <v>1</v>
      </c>
      <c r="X73" s="3"/>
      <c r="Y73" s="3"/>
      <c r="Z73" s="3"/>
    </row>
    <row r="74" spans="1:26" x14ac:dyDescent="0.25">
      <c r="A74" s="3"/>
      <c r="B74" s="3"/>
      <c r="C74" s="9">
        <f t="shared" si="7"/>
        <v>21874.699649675676</v>
      </c>
      <c r="D74" s="9">
        <f t="shared" si="8"/>
        <v>-1213.0713517808217</v>
      </c>
      <c r="E74" s="9">
        <f t="shared" si="9"/>
        <v>666.41333670394749</v>
      </c>
      <c r="F74" s="9">
        <f t="shared" si="10"/>
        <v>3.3638299240000002E-2</v>
      </c>
      <c r="G74" s="9">
        <f t="shared" si="11"/>
        <v>21328.075272898041</v>
      </c>
      <c r="H74" s="10">
        <v>-28</v>
      </c>
      <c r="I74" s="11">
        <f t="shared" si="12"/>
        <v>2.1328075272898039</v>
      </c>
      <c r="J74" s="3"/>
      <c r="K74" s="3"/>
      <c r="L74" s="3"/>
      <c r="M74" s="3"/>
      <c r="N74" s="6"/>
      <c r="O74" s="12">
        <v>34006.886010000002</v>
      </c>
      <c r="P74" s="12">
        <v>-2213.8552169999998</v>
      </c>
      <c r="Q74" s="12">
        <v>1113.1299690000001</v>
      </c>
      <c r="R74" s="12">
        <v>3.3638299240000002E-2</v>
      </c>
      <c r="S74" s="12">
        <v>32906.1944</v>
      </c>
      <c r="T74" s="3"/>
      <c r="U74" s="3"/>
      <c r="V74" s="9">
        <v>0.64</v>
      </c>
      <c r="W74" s="9">
        <v>1</v>
      </c>
      <c r="X74" s="3"/>
      <c r="Y74" s="3"/>
      <c r="Z74" s="3"/>
    </row>
    <row r="75" spans="1:26" x14ac:dyDescent="0.25">
      <c r="A75" s="3"/>
      <c r="B75" s="3"/>
      <c r="C75" s="9">
        <f t="shared" si="7"/>
        <v>22262.697779567567</v>
      </c>
      <c r="D75" s="9">
        <f t="shared" si="8"/>
        <v>-1288.6622317808217</v>
      </c>
      <c r="E75" s="9">
        <f t="shared" si="9"/>
        <v>697.48397977631578</v>
      </c>
      <c r="F75" s="9">
        <f t="shared" si="10"/>
        <v>1.6346850319999998E-2</v>
      </c>
      <c r="G75" s="9">
        <f t="shared" si="11"/>
        <v>21671.535874413381</v>
      </c>
      <c r="H75" s="10">
        <v>-27</v>
      </c>
      <c r="I75" s="11">
        <f t="shared" si="12"/>
        <v>2.1671535874413381</v>
      </c>
      <c r="J75" s="3"/>
      <c r="K75" s="3"/>
      <c r="L75" s="3"/>
      <c r="M75" s="3"/>
      <c r="N75" s="6"/>
      <c r="O75" s="12">
        <v>34610.076379999999</v>
      </c>
      <c r="P75" s="12">
        <v>-2351.8085729999998</v>
      </c>
      <c r="Q75" s="12">
        <v>1165.028186</v>
      </c>
      <c r="R75" s="12">
        <v>1.6346850319999998E-2</v>
      </c>
      <c r="S75" s="12">
        <v>33423.312339999997</v>
      </c>
      <c r="T75" s="3"/>
      <c r="U75" s="3"/>
      <c r="V75" s="9">
        <v>0.64</v>
      </c>
      <c r="W75" s="9">
        <v>1</v>
      </c>
      <c r="X75" s="3"/>
      <c r="Y75" s="3"/>
      <c r="Z75" s="3"/>
    </row>
    <row r="76" spans="1:26" x14ac:dyDescent="0.25">
      <c r="A76" s="3"/>
      <c r="B76" s="3"/>
      <c r="C76" s="9">
        <f t="shared" si="7"/>
        <v>22549.20882427027</v>
      </c>
      <c r="D76" s="9">
        <f t="shared" si="8"/>
        <v>-1369.5803731506849</v>
      </c>
      <c r="E76" s="9">
        <f t="shared" si="9"/>
        <v>730.13706974342108</v>
      </c>
      <c r="F76" s="9">
        <f t="shared" si="10"/>
        <v>-7.0712773110000006E-5</v>
      </c>
      <c r="G76" s="9">
        <f t="shared" si="11"/>
        <v>21909.765450150233</v>
      </c>
      <c r="H76" s="10">
        <v>-26</v>
      </c>
      <c r="I76" s="11">
        <f t="shared" si="12"/>
        <v>2.1909765450150234</v>
      </c>
      <c r="J76" s="3"/>
      <c r="K76" s="3"/>
      <c r="L76" s="3"/>
      <c r="M76" s="3"/>
      <c r="N76" s="6"/>
      <c r="O76" s="12">
        <v>35055.492709999999</v>
      </c>
      <c r="P76" s="12">
        <v>-2499.4841809999998</v>
      </c>
      <c r="Q76" s="12">
        <v>1219.5696109999999</v>
      </c>
      <c r="R76" s="12">
        <v>-7.0712773110000006E-5</v>
      </c>
      <c r="S76" s="12">
        <v>33775.578070000003</v>
      </c>
      <c r="T76" s="3"/>
      <c r="U76" s="3"/>
      <c r="V76" s="9">
        <v>0.64</v>
      </c>
      <c r="W76" s="9">
        <v>1</v>
      </c>
      <c r="X76" s="3"/>
      <c r="Y76" s="3"/>
      <c r="Z76" s="3"/>
    </row>
    <row r="77" spans="1:26" x14ac:dyDescent="0.25">
      <c r="A77" s="3"/>
      <c r="B77" s="3"/>
      <c r="C77" s="9">
        <f t="shared" si="7"/>
        <v>22726.753524432432</v>
      </c>
      <c r="D77" s="9">
        <f t="shared" si="8"/>
        <v>-1455.96408</v>
      </c>
      <c r="E77" s="9">
        <f t="shared" si="9"/>
        <v>764.26156864473694</v>
      </c>
      <c r="F77" s="9">
        <f t="shared" si="10"/>
        <v>-2.9892957210000001E-2</v>
      </c>
      <c r="G77" s="9">
        <f t="shared" si="11"/>
        <v>22035.021120119956</v>
      </c>
      <c r="H77" s="10">
        <v>-25</v>
      </c>
      <c r="I77" s="11">
        <f t="shared" si="12"/>
        <v>2.2035021120119955</v>
      </c>
      <c r="J77" s="3"/>
      <c r="K77" s="3"/>
      <c r="L77" s="3"/>
      <c r="M77" s="3"/>
      <c r="N77" s="6"/>
      <c r="O77" s="12">
        <v>35331.507579999998</v>
      </c>
      <c r="P77" s="12">
        <v>-2657.134446</v>
      </c>
      <c r="Q77" s="12">
        <v>1276.5687740000001</v>
      </c>
      <c r="R77" s="12">
        <v>-2.9892957210000001E-2</v>
      </c>
      <c r="S77" s="12">
        <v>33950.91201</v>
      </c>
      <c r="T77" s="3"/>
      <c r="U77" s="3"/>
      <c r="V77" s="9">
        <v>0.64</v>
      </c>
      <c r="W77" s="9">
        <v>1</v>
      </c>
      <c r="X77" s="3"/>
      <c r="Y77" s="3"/>
      <c r="Z77" s="3"/>
    </row>
    <row r="78" spans="1:26" x14ac:dyDescent="0.25">
      <c r="A78" s="3"/>
      <c r="B78" s="3"/>
      <c r="C78" s="9">
        <f t="shared" si="7"/>
        <v>22788.513958378375</v>
      </c>
      <c r="D78" s="9">
        <f t="shared" si="8"/>
        <v>-1547.8425473972602</v>
      </c>
      <c r="E78" s="9">
        <f t="shared" si="9"/>
        <v>799.83208867763165</v>
      </c>
      <c r="F78" s="9">
        <f t="shared" si="10"/>
        <v>1.34026743E-2</v>
      </c>
      <c r="G78" s="9">
        <f t="shared" si="11"/>
        <v>22040.516902333045</v>
      </c>
      <c r="H78" s="10">
        <v>-24</v>
      </c>
      <c r="I78" s="11">
        <f t="shared" si="12"/>
        <v>2.2040516902333045</v>
      </c>
      <c r="J78" s="3"/>
      <c r="K78" s="3"/>
      <c r="L78" s="3"/>
      <c r="M78" s="3"/>
      <c r="N78" s="6"/>
      <c r="O78" s="12">
        <v>35427.521699999998</v>
      </c>
      <c r="P78" s="12">
        <v>-2824.812649</v>
      </c>
      <c r="Q78" s="12">
        <v>1335.9832690000001</v>
      </c>
      <c r="R78" s="12">
        <v>1.34026743E-2</v>
      </c>
      <c r="S78" s="12">
        <v>33938.705719999998</v>
      </c>
      <c r="T78" s="3"/>
      <c r="U78" s="3"/>
      <c r="V78" s="9">
        <v>0.64</v>
      </c>
      <c r="W78" s="9">
        <v>1</v>
      </c>
      <c r="X78" s="3"/>
      <c r="Y78" s="3"/>
      <c r="Z78" s="3"/>
    </row>
    <row r="79" spans="1:26" x14ac:dyDescent="0.25">
      <c r="A79" s="3"/>
      <c r="B79" s="3"/>
      <c r="C79" s="9">
        <f t="shared" si="7"/>
        <v>22730.827241783783</v>
      </c>
      <c r="D79" s="9">
        <f t="shared" si="8"/>
        <v>-1645.6312580821918</v>
      </c>
      <c r="E79" s="9">
        <f t="shared" si="9"/>
        <v>836.63053816447371</v>
      </c>
      <c r="F79" s="9">
        <f t="shared" si="10"/>
        <v>-0.1014574722</v>
      </c>
      <c r="G79" s="9">
        <f t="shared" si="11"/>
        <v>21921.725064393868</v>
      </c>
      <c r="H79" s="10">
        <v>-23</v>
      </c>
      <c r="I79" s="11">
        <f t="shared" si="12"/>
        <v>2.1921725064393867</v>
      </c>
      <c r="J79" s="3"/>
      <c r="K79" s="3"/>
      <c r="L79" s="3"/>
      <c r="M79" s="3"/>
      <c r="N79" s="6"/>
      <c r="O79" s="12">
        <v>35337.840669999998</v>
      </c>
      <c r="P79" s="12">
        <v>-3003.2770460000002</v>
      </c>
      <c r="Q79" s="12">
        <v>1397.448811</v>
      </c>
      <c r="R79" s="12">
        <v>-0.1014574722</v>
      </c>
      <c r="S79" s="12">
        <v>33731.910969999997</v>
      </c>
      <c r="T79" s="3"/>
      <c r="U79" s="3"/>
      <c r="V79" s="9">
        <v>0.64</v>
      </c>
      <c r="W79" s="9">
        <v>1</v>
      </c>
      <c r="X79" s="3"/>
      <c r="Y79" s="3"/>
      <c r="Z79" s="3"/>
    </row>
    <row r="80" spans="1:26" x14ac:dyDescent="0.25">
      <c r="A80" s="3"/>
      <c r="B80" s="3"/>
      <c r="C80" s="9">
        <f t="shared" si="7"/>
        <v>22548.22269378378</v>
      </c>
      <c r="D80" s="9">
        <f t="shared" si="8"/>
        <v>-1749.2078723287671</v>
      </c>
      <c r="E80" s="9">
        <f t="shared" si="9"/>
        <v>874.71986934868426</v>
      </c>
      <c r="F80" s="9">
        <f t="shared" si="10"/>
        <v>-0.25618585649999998</v>
      </c>
      <c r="G80" s="9">
        <f t="shared" si="11"/>
        <v>21673.478504947198</v>
      </c>
      <c r="H80" s="10">
        <v>-22</v>
      </c>
      <c r="I80" s="11">
        <f t="shared" si="12"/>
        <v>2.1673478504947199</v>
      </c>
      <c r="J80" s="3"/>
      <c r="K80" s="3"/>
      <c r="L80" s="3"/>
      <c r="M80" s="3"/>
      <c r="N80" s="6"/>
      <c r="O80" s="12">
        <v>35053.959649999997</v>
      </c>
      <c r="P80" s="12">
        <v>-3192.3043670000002</v>
      </c>
      <c r="Q80" s="12">
        <v>1461.070551</v>
      </c>
      <c r="R80" s="12">
        <v>-0.25618585649999998</v>
      </c>
      <c r="S80" s="12">
        <v>33322.469640000003</v>
      </c>
      <c r="T80" s="3"/>
      <c r="U80" s="3"/>
      <c r="V80" s="9">
        <v>0.64</v>
      </c>
      <c r="W80" s="9">
        <v>1</v>
      </c>
      <c r="X80" s="3"/>
      <c r="Y80" s="3"/>
      <c r="Z80" s="3"/>
    </row>
    <row r="81" spans="1:26" x14ac:dyDescent="0.25">
      <c r="A81" s="3"/>
      <c r="B81" s="3"/>
      <c r="C81" s="9">
        <f t="shared" si="7"/>
        <v>22239.716338756756</v>
      </c>
      <c r="D81" s="9">
        <f t="shared" si="8"/>
        <v>-1858.8450389041093</v>
      </c>
      <c r="E81" s="9">
        <f t="shared" si="9"/>
        <v>914.10492199342116</v>
      </c>
      <c r="F81" s="9">
        <f t="shared" si="10"/>
        <v>-0.484414919</v>
      </c>
      <c r="G81" s="9">
        <f t="shared" si="11"/>
        <v>21294.491806927068</v>
      </c>
      <c r="H81" s="10">
        <v>-21</v>
      </c>
      <c r="I81" s="11">
        <f t="shared" si="12"/>
        <v>2.1294491806927067</v>
      </c>
      <c r="J81" s="3"/>
      <c r="K81" s="3"/>
      <c r="L81" s="3"/>
      <c r="M81" s="3"/>
      <c r="N81" s="6"/>
      <c r="O81" s="12">
        <v>34574.34893</v>
      </c>
      <c r="P81" s="12">
        <v>-3392.3921959999998</v>
      </c>
      <c r="Q81" s="12">
        <v>1526.856573</v>
      </c>
      <c r="R81" s="12">
        <v>-0.484414919</v>
      </c>
      <c r="S81" s="12">
        <v>32708.328890000001</v>
      </c>
      <c r="T81" s="3"/>
      <c r="U81" s="3"/>
      <c r="V81" s="9">
        <v>0.64</v>
      </c>
      <c r="W81" s="9">
        <v>1</v>
      </c>
      <c r="X81" s="3"/>
      <c r="Y81" s="3"/>
      <c r="Z81" s="3"/>
    </row>
    <row r="82" spans="1:26" x14ac:dyDescent="0.25">
      <c r="A82" s="3"/>
      <c r="B82" s="3"/>
      <c r="C82" s="9">
        <f t="shared" si="7"/>
        <v>21811.96516535135</v>
      </c>
      <c r="D82" s="9">
        <f t="shared" si="8"/>
        <v>-1975.1050471232875</v>
      </c>
      <c r="E82" s="9">
        <f t="shared" si="9"/>
        <v>955.23730754605265</v>
      </c>
      <c r="F82" s="9">
        <f t="shared" si="10"/>
        <v>-0.2328620824</v>
      </c>
      <c r="G82" s="9">
        <f t="shared" si="11"/>
        <v>20791.864563691714</v>
      </c>
      <c r="H82" s="10">
        <v>-20</v>
      </c>
      <c r="I82" s="11">
        <f t="shared" si="12"/>
        <v>2.0791864563691713</v>
      </c>
      <c r="J82" s="3"/>
      <c r="K82" s="3"/>
      <c r="L82" s="3"/>
      <c r="M82" s="3"/>
      <c r="N82" s="6"/>
      <c r="O82" s="12">
        <v>33909.357609999999</v>
      </c>
      <c r="P82" s="12">
        <v>-3604.5667109999999</v>
      </c>
      <c r="Q82" s="12">
        <v>1595.5612169999999</v>
      </c>
      <c r="R82" s="12">
        <v>-0.2328620824</v>
      </c>
      <c r="S82" s="12">
        <v>31900.119259999999</v>
      </c>
      <c r="T82" s="3"/>
      <c r="U82" s="3"/>
      <c r="V82" s="9">
        <v>0.64</v>
      </c>
      <c r="W82" s="9">
        <v>1</v>
      </c>
      <c r="X82" s="3"/>
      <c r="Y82" s="3"/>
      <c r="Z82" s="3"/>
    </row>
    <row r="83" spans="1:26" x14ac:dyDescent="0.25">
      <c r="A83" s="3"/>
      <c r="B83" s="3"/>
      <c r="C83" s="9">
        <f t="shared" si="7"/>
        <v>21268.206320918918</v>
      </c>
      <c r="D83" s="9">
        <f t="shared" si="8"/>
        <v>-2098.5232690410958</v>
      </c>
      <c r="E83" s="9">
        <f t="shared" si="9"/>
        <v>998.13039223026317</v>
      </c>
      <c r="F83" s="9">
        <f t="shared" si="10"/>
        <v>0.1233047864</v>
      </c>
      <c r="G83" s="9">
        <f t="shared" si="11"/>
        <v>20167.936748894484</v>
      </c>
      <c r="H83" s="10">
        <v>-19</v>
      </c>
      <c r="I83" s="11">
        <f t="shared" si="12"/>
        <v>2.0167936748894486</v>
      </c>
      <c r="J83" s="3"/>
      <c r="K83" s="3"/>
      <c r="L83" s="3"/>
      <c r="M83" s="3"/>
      <c r="N83" s="6"/>
      <c r="O83" s="12">
        <v>33064.018230000001</v>
      </c>
      <c r="P83" s="12">
        <v>-3829.8049660000001</v>
      </c>
      <c r="Q83" s="12">
        <v>1667.206809</v>
      </c>
      <c r="R83" s="12">
        <v>0.1233047864</v>
      </c>
      <c r="S83" s="12">
        <v>30901.543379999999</v>
      </c>
      <c r="T83" s="3"/>
      <c r="U83" s="3"/>
      <c r="V83" s="9">
        <v>0.64</v>
      </c>
      <c r="W83" s="9">
        <v>1</v>
      </c>
      <c r="X83" s="3"/>
      <c r="Y83" s="3"/>
      <c r="Z83" s="3"/>
    </row>
    <row r="84" spans="1:26" x14ac:dyDescent="0.25">
      <c r="A84" s="3"/>
      <c r="B84" s="3"/>
      <c r="C84" s="9">
        <f t="shared" si="7"/>
        <v>20621.779615405405</v>
      </c>
      <c r="D84" s="9">
        <f t="shared" si="8"/>
        <v>-2231.0052328767124</v>
      </c>
      <c r="E84" s="9">
        <f t="shared" si="9"/>
        <v>1042.7301441973684</v>
      </c>
      <c r="F84" s="9">
        <f t="shared" si="10"/>
        <v>-0.39365181780000003</v>
      </c>
      <c r="G84" s="9">
        <f t="shared" si="11"/>
        <v>19433.11087490826</v>
      </c>
      <c r="H84" s="10">
        <v>-18</v>
      </c>
      <c r="I84" s="11">
        <f t="shared" si="12"/>
        <v>1.9433110874908259</v>
      </c>
      <c r="J84" s="3"/>
      <c r="K84" s="3"/>
      <c r="L84" s="3"/>
      <c r="M84" s="3"/>
      <c r="N84" s="6"/>
      <c r="O84" s="12">
        <v>32059.069149999999</v>
      </c>
      <c r="P84" s="12">
        <v>-4071.58455</v>
      </c>
      <c r="Q84" s="12">
        <v>1741.703098</v>
      </c>
      <c r="R84" s="12">
        <v>-0.39365181780000003</v>
      </c>
      <c r="S84" s="12">
        <v>29728.79405</v>
      </c>
      <c r="T84" s="3"/>
      <c r="U84" s="3"/>
      <c r="V84" s="9">
        <v>0.64</v>
      </c>
      <c r="W84" s="9">
        <v>1</v>
      </c>
      <c r="X84" s="3"/>
      <c r="Y84" s="3"/>
      <c r="Z84" s="3"/>
    </row>
    <row r="85" spans="1:26" x14ac:dyDescent="0.25">
      <c r="A85" s="3"/>
      <c r="B85" s="3"/>
      <c r="C85" s="9">
        <f t="shared" si="7"/>
        <v>19883.974154270269</v>
      </c>
      <c r="D85" s="9">
        <f t="shared" si="8"/>
        <v>-2372.5918131506851</v>
      </c>
      <c r="E85" s="9">
        <f t="shared" si="9"/>
        <v>1089.8911797697369</v>
      </c>
      <c r="F85" s="9">
        <f t="shared" si="10"/>
        <v>-1.0101725290000001</v>
      </c>
      <c r="G85" s="9">
        <f t="shared" si="11"/>
        <v>18600.26334836032</v>
      </c>
      <c r="H85" s="10">
        <v>-17</v>
      </c>
      <c r="I85" s="11">
        <f t="shared" si="12"/>
        <v>1.860026334836032</v>
      </c>
      <c r="J85" s="3"/>
      <c r="K85" s="3"/>
      <c r="L85" s="3"/>
      <c r="M85" s="3"/>
      <c r="N85" s="6"/>
      <c r="O85" s="12">
        <v>30912.060659999999</v>
      </c>
      <c r="P85" s="12">
        <v>-4329.9800590000004</v>
      </c>
      <c r="Q85" s="12">
        <v>1820.4775749999999</v>
      </c>
      <c r="R85" s="12">
        <v>-1.0101725290000001</v>
      </c>
      <c r="S85" s="12">
        <v>28401.547999999999</v>
      </c>
      <c r="T85" s="3"/>
      <c r="U85" s="3"/>
      <c r="V85" s="9">
        <v>0.64</v>
      </c>
      <c r="W85" s="9">
        <v>1</v>
      </c>
      <c r="X85" s="3"/>
      <c r="Y85" s="3"/>
      <c r="Z85" s="3"/>
    </row>
    <row r="86" spans="1:26" x14ac:dyDescent="0.25">
      <c r="A86" s="3"/>
      <c r="B86" s="3"/>
      <c r="C86" s="9">
        <f t="shared" si="7"/>
        <v>19077.056638594593</v>
      </c>
      <c r="D86" s="9">
        <f t="shared" si="8"/>
        <v>-2523.887351780822</v>
      </c>
      <c r="E86" s="9">
        <f t="shared" si="9"/>
        <v>1141.5824000921054</v>
      </c>
      <c r="F86" s="9">
        <f t="shared" si="10"/>
        <v>0.19363477700000001</v>
      </c>
      <c r="G86" s="9">
        <f t="shared" si="11"/>
        <v>17694.945321682877</v>
      </c>
      <c r="H86" s="10">
        <v>-16</v>
      </c>
      <c r="I86" s="11">
        <f t="shared" si="12"/>
        <v>1.7694945321682878</v>
      </c>
      <c r="J86" s="3"/>
      <c r="K86" s="3"/>
      <c r="L86" s="3"/>
      <c r="M86" s="3"/>
      <c r="N86" s="6"/>
      <c r="O86" s="12">
        <v>29657.609059999999</v>
      </c>
      <c r="P86" s="12">
        <v>-4606.0944170000002</v>
      </c>
      <c r="Q86" s="12">
        <v>1906.8189540000001</v>
      </c>
      <c r="R86" s="12">
        <v>0.19363477700000001</v>
      </c>
      <c r="S86" s="12">
        <v>26958.527239999999</v>
      </c>
      <c r="T86" s="3"/>
      <c r="U86" s="3"/>
      <c r="V86" s="9">
        <v>0.64</v>
      </c>
      <c r="W86" s="9">
        <v>1</v>
      </c>
      <c r="X86" s="3"/>
      <c r="Y86" s="3"/>
      <c r="Z86" s="3"/>
    </row>
    <row r="87" spans="1:26" x14ac:dyDescent="0.25">
      <c r="A87" s="3"/>
      <c r="B87" s="3"/>
      <c r="C87" s="9">
        <f t="shared" si="7"/>
        <v>18219.463313837838</v>
      </c>
      <c r="D87" s="9">
        <f t="shared" si="8"/>
        <v>-2688.2467002739727</v>
      </c>
      <c r="E87" s="9">
        <f t="shared" si="9"/>
        <v>1196.2207176776317</v>
      </c>
      <c r="F87" s="9">
        <f t="shared" si="10"/>
        <v>-0.74607829020000005</v>
      </c>
      <c r="G87" s="9">
        <f t="shared" si="11"/>
        <v>16726.691252951296</v>
      </c>
      <c r="H87" s="10">
        <v>-15</v>
      </c>
      <c r="I87" s="11">
        <f t="shared" si="12"/>
        <v>1.6726691252951296</v>
      </c>
      <c r="J87" s="3"/>
      <c r="K87" s="3"/>
      <c r="L87" s="3"/>
      <c r="M87" s="3"/>
      <c r="N87" s="6"/>
      <c r="O87" s="12">
        <v>28324.375739999999</v>
      </c>
      <c r="P87" s="12">
        <v>-4906.0502280000001</v>
      </c>
      <c r="Q87" s="12">
        <v>1998.0829570000001</v>
      </c>
      <c r="R87" s="12">
        <v>-0.74607829020000005</v>
      </c>
      <c r="S87" s="12">
        <v>25415.662390000001</v>
      </c>
      <c r="T87" s="3"/>
      <c r="U87" s="3"/>
      <c r="V87" s="9">
        <v>0.64</v>
      </c>
      <c r="W87" s="9">
        <v>1</v>
      </c>
      <c r="X87" s="3"/>
      <c r="Y87" s="3"/>
      <c r="Z87" s="3"/>
    </row>
    <row r="88" spans="1:26" x14ac:dyDescent="0.25">
      <c r="A88" s="3"/>
      <c r="B88" s="3"/>
      <c r="C88" s="9">
        <f t="shared" si="7"/>
        <v>17330.049800756758</v>
      </c>
      <c r="D88" s="9">
        <f t="shared" si="8"/>
        <v>-2864.0999336986301</v>
      </c>
      <c r="E88" s="9">
        <f t="shared" si="9"/>
        <v>1256.610681881579</v>
      </c>
      <c r="F88" s="9">
        <f t="shared" si="10"/>
        <v>-0.23377024539999999</v>
      </c>
      <c r="G88" s="9">
        <f t="shared" si="11"/>
        <v>15722.326778694307</v>
      </c>
      <c r="H88" s="10">
        <v>-14</v>
      </c>
      <c r="I88" s="11">
        <f t="shared" si="12"/>
        <v>1.5722326778694307</v>
      </c>
      <c r="J88" s="3"/>
      <c r="K88" s="3"/>
      <c r="L88" s="3"/>
      <c r="M88" s="3"/>
      <c r="N88" s="6"/>
      <c r="O88" s="12">
        <v>26941.674060000001</v>
      </c>
      <c r="P88" s="12">
        <v>-5226.982379</v>
      </c>
      <c r="Q88" s="12">
        <v>2098.9541060000001</v>
      </c>
      <c r="R88" s="12">
        <v>-0.23377024539999999</v>
      </c>
      <c r="S88" s="12">
        <v>23813.41201</v>
      </c>
      <c r="T88" s="3"/>
      <c r="U88" s="3"/>
      <c r="V88" s="9">
        <v>0.64</v>
      </c>
      <c r="W88" s="9">
        <v>1</v>
      </c>
      <c r="X88" s="3"/>
      <c r="Y88" s="3"/>
      <c r="Z88" s="3"/>
    </row>
    <row r="89" spans="1:26" x14ac:dyDescent="0.25">
      <c r="A89" s="3"/>
      <c r="B89" s="3"/>
      <c r="C89" s="9">
        <f t="shared" si="7"/>
        <v>16425.00142443243</v>
      </c>
      <c r="D89" s="9">
        <f t="shared" si="8"/>
        <v>-3052.8439747945204</v>
      </c>
      <c r="E89" s="9">
        <f t="shared" si="9"/>
        <v>1322.0025927960528</v>
      </c>
      <c r="F89" s="9">
        <f t="shared" si="10"/>
        <v>-0.6331848377</v>
      </c>
      <c r="G89" s="9">
        <f t="shared" si="11"/>
        <v>14693.526857596264</v>
      </c>
      <c r="H89" s="10">
        <v>-13</v>
      </c>
      <c r="I89" s="11">
        <f t="shared" si="12"/>
        <v>1.4693526857596264</v>
      </c>
      <c r="J89" s="3"/>
      <c r="K89" s="3"/>
      <c r="L89" s="3"/>
      <c r="M89" s="3"/>
      <c r="N89" s="6"/>
      <c r="O89" s="12">
        <v>25534.666079999999</v>
      </c>
      <c r="P89" s="12">
        <v>-5571.4402540000001</v>
      </c>
      <c r="Q89" s="12">
        <v>2208.180155</v>
      </c>
      <c r="R89" s="12">
        <v>-0.6331848377</v>
      </c>
      <c r="S89" s="12">
        <v>22170.772789999999</v>
      </c>
      <c r="T89" s="3"/>
      <c r="U89" s="3"/>
      <c r="V89" s="9">
        <v>0.64</v>
      </c>
      <c r="W89" s="9">
        <v>1</v>
      </c>
      <c r="X89" s="3"/>
      <c r="Y89" s="3"/>
      <c r="Z89" s="3"/>
    </row>
    <row r="90" spans="1:26" x14ac:dyDescent="0.25">
      <c r="A90" s="3"/>
      <c r="B90" s="3"/>
      <c r="C90" s="9">
        <f t="shared" si="7"/>
        <v>15520.48128589189</v>
      </c>
      <c r="D90" s="9">
        <f t="shared" si="8"/>
        <v>-3252.5446887671233</v>
      </c>
      <c r="E90" s="9">
        <f t="shared" si="9"/>
        <v>1394.5508131578947</v>
      </c>
      <c r="F90" s="9">
        <f t="shared" si="10"/>
        <v>0.68744002530000003</v>
      </c>
      <c r="G90" s="9">
        <f t="shared" si="11"/>
        <v>13663.174850307963</v>
      </c>
      <c r="H90" s="10">
        <v>-12</v>
      </c>
      <c r="I90" s="11">
        <f t="shared" si="12"/>
        <v>1.3663174850307964</v>
      </c>
      <c r="J90" s="3"/>
      <c r="K90" s="3"/>
      <c r="L90" s="3"/>
      <c r="M90" s="3"/>
      <c r="N90" s="6"/>
      <c r="O90" s="12">
        <v>24128.479309999999</v>
      </c>
      <c r="P90" s="12">
        <v>-5935.8940570000004</v>
      </c>
      <c r="Q90" s="12">
        <v>2329.3595999999998</v>
      </c>
      <c r="R90" s="12">
        <v>0.68744002530000003</v>
      </c>
      <c r="S90" s="12">
        <v>20522.632290000001</v>
      </c>
      <c r="T90" s="3"/>
      <c r="U90" s="3"/>
      <c r="V90" s="9">
        <v>0.64</v>
      </c>
      <c r="W90" s="9">
        <v>1</v>
      </c>
      <c r="X90" s="3"/>
      <c r="Y90" s="3"/>
      <c r="Z90" s="3"/>
    </row>
    <row r="91" spans="1:26" x14ac:dyDescent="0.25">
      <c r="A91" s="3"/>
      <c r="B91" s="3"/>
      <c r="C91" s="9">
        <f t="shared" si="7"/>
        <v>14626.653811945946</v>
      </c>
      <c r="D91" s="9">
        <f t="shared" si="8"/>
        <v>-3463.8566635616439</v>
      </c>
      <c r="E91" s="9">
        <f t="shared" si="9"/>
        <v>1472.9163480131579</v>
      </c>
      <c r="F91" s="9">
        <f t="shared" si="10"/>
        <v>0.56732683699999997</v>
      </c>
      <c r="G91" s="9">
        <f t="shared" si="11"/>
        <v>12636.280823234458</v>
      </c>
      <c r="H91" s="10">
        <v>-11</v>
      </c>
      <c r="I91" s="11">
        <f t="shared" si="12"/>
        <v>1.2636280823234458</v>
      </c>
      <c r="J91" s="3"/>
      <c r="K91" s="3"/>
      <c r="L91" s="3"/>
      <c r="M91" s="3"/>
      <c r="N91" s="6"/>
      <c r="O91" s="12">
        <v>22738.915590000001</v>
      </c>
      <c r="P91" s="12">
        <v>-6321.5384110000005</v>
      </c>
      <c r="Q91" s="12">
        <v>2460.2558779999999</v>
      </c>
      <c r="R91" s="12">
        <v>0.56732683699999997</v>
      </c>
      <c r="S91" s="12">
        <v>18878.200379999998</v>
      </c>
      <c r="T91" s="3"/>
      <c r="U91" s="3"/>
      <c r="V91" s="9">
        <v>0.64</v>
      </c>
      <c r="W91" s="9">
        <v>1</v>
      </c>
      <c r="X91" s="3"/>
      <c r="Y91" s="3"/>
      <c r="Z91" s="3"/>
    </row>
    <row r="92" spans="1:26" x14ac:dyDescent="0.25">
      <c r="A92" s="3"/>
      <c r="B92" s="3"/>
      <c r="C92" s="9">
        <f t="shared" si="7"/>
        <v>13750.898051081082</v>
      </c>
      <c r="D92" s="9">
        <f t="shared" si="8"/>
        <v>-3685.003728767123</v>
      </c>
      <c r="E92" s="9">
        <f t="shared" si="9"/>
        <v>1556.8871571842105</v>
      </c>
      <c r="F92" s="9">
        <f t="shared" si="10"/>
        <v>-1.990759425</v>
      </c>
      <c r="G92" s="9">
        <f t="shared" si="11"/>
        <v>11620.790720073168</v>
      </c>
      <c r="H92" s="10">
        <v>-10</v>
      </c>
      <c r="I92" s="11">
        <f t="shared" si="12"/>
        <v>1.1620790720073169</v>
      </c>
      <c r="J92" s="3"/>
      <c r="K92" s="3"/>
      <c r="L92" s="3"/>
      <c r="M92" s="3"/>
      <c r="N92" s="6"/>
      <c r="O92" s="12">
        <v>21377.446550000001</v>
      </c>
      <c r="P92" s="12">
        <v>-6725.131805</v>
      </c>
      <c r="Q92" s="12">
        <v>2600.5148119999999</v>
      </c>
      <c r="R92" s="12">
        <v>-1.990759425</v>
      </c>
      <c r="S92" s="12">
        <v>17250.838800000001</v>
      </c>
      <c r="T92" s="3"/>
      <c r="U92" s="3"/>
      <c r="V92" s="9">
        <v>0.64</v>
      </c>
      <c r="W92" s="9">
        <v>1</v>
      </c>
      <c r="X92" s="3"/>
      <c r="Y92" s="3"/>
      <c r="Z92" s="3"/>
    </row>
    <row r="93" spans="1:26" x14ac:dyDescent="0.25">
      <c r="A93" s="3"/>
      <c r="B93" s="3"/>
      <c r="C93" s="9">
        <f t="shared" si="7"/>
        <v>12903.75817518919</v>
      </c>
      <c r="D93" s="9">
        <f t="shared" si="8"/>
        <v>-3910.4589046575338</v>
      </c>
      <c r="E93" s="9">
        <f t="shared" si="9"/>
        <v>1650.2749115723686</v>
      </c>
      <c r="F93" s="9">
        <f t="shared" si="10"/>
        <v>-1.421840837</v>
      </c>
      <c r="G93" s="9">
        <f t="shared" si="11"/>
        <v>10642.152341267027</v>
      </c>
      <c r="H93" s="10">
        <v>-9</v>
      </c>
      <c r="I93" s="11">
        <f t="shared" si="12"/>
        <v>1.0642152341267026</v>
      </c>
      <c r="J93" s="3"/>
      <c r="K93" s="3"/>
      <c r="L93" s="3"/>
      <c r="M93" s="3"/>
      <c r="N93" s="6"/>
      <c r="O93" s="12">
        <v>20060.464390000001</v>
      </c>
      <c r="P93" s="12">
        <v>-7136.587501</v>
      </c>
      <c r="Q93" s="12">
        <v>2756.5031490000001</v>
      </c>
      <c r="R93" s="12">
        <v>-1.421840837</v>
      </c>
      <c r="S93" s="12">
        <v>15678.958199999999</v>
      </c>
      <c r="T93" s="3"/>
      <c r="U93" s="3"/>
      <c r="V93" s="9">
        <v>0.64</v>
      </c>
      <c r="W93" s="9">
        <v>1</v>
      </c>
      <c r="X93" s="3"/>
      <c r="Y93" s="3"/>
      <c r="Z93" s="3"/>
    </row>
    <row r="94" spans="1:26" x14ac:dyDescent="0.25">
      <c r="A94" s="3"/>
      <c r="B94" s="3"/>
      <c r="C94" s="9">
        <f t="shared" si="7"/>
        <v>12089.303778432431</v>
      </c>
      <c r="D94" s="9">
        <f t="shared" si="8"/>
        <v>-4138.732727123288</v>
      </c>
      <c r="E94" s="9">
        <f t="shared" si="9"/>
        <v>1752.1517236907896</v>
      </c>
      <c r="F94" s="9">
        <f t="shared" si="10"/>
        <v>-0.3075697792</v>
      </c>
      <c r="G94" s="9">
        <f t="shared" si="11"/>
        <v>9702.4152052207337</v>
      </c>
      <c r="H94" s="10">
        <v>-8</v>
      </c>
      <c r="I94" s="11">
        <f t="shared" si="12"/>
        <v>0.97024152052207335</v>
      </c>
      <c r="J94" s="3"/>
      <c r="K94" s="3"/>
      <c r="L94" s="3"/>
      <c r="M94" s="3"/>
      <c r="N94" s="6"/>
      <c r="O94" s="12">
        <v>18794.29579</v>
      </c>
      <c r="P94" s="12">
        <v>-7553.1872270000003</v>
      </c>
      <c r="Q94" s="12">
        <v>2926.6710109999999</v>
      </c>
      <c r="R94" s="12">
        <v>-0.3075697792</v>
      </c>
      <c r="S94" s="12">
        <v>14167.472</v>
      </c>
      <c r="T94" s="3"/>
      <c r="U94" s="3"/>
      <c r="V94" s="9">
        <v>0.64</v>
      </c>
      <c r="W94" s="9">
        <v>1</v>
      </c>
      <c r="X94" s="3"/>
      <c r="Y94" s="3"/>
      <c r="Z94" s="3"/>
    </row>
    <row r="95" spans="1:26" x14ac:dyDescent="0.25">
      <c r="A95" s="3"/>
      <c r="B95" s="3"/>
      <c r="C95" s="9">
        <f t="shared" si="7"/>
        <v>11310.460009459459</v>
      </c>
      <c r="D95" s="9">
        <f t="shared" si="8"/>
        <v>-4365.1426339726022</v>
      </c>
      <c r="E95" s="9">
        <f t="shared" si="9"/>
        <v>1862.5603198355266</v>
      </c>
      <c r="F95" s="9">
        <f t="shared" si="10"/>
        <v>0.92013203470000005</v>
      </c>
      <c r="G95" s="9">
        <f t="shared" si="11"/>
        <v>8808.7978273570825</v>
      </c>
      <c r="H95" s="10">
        <v>-7</v>
      </c>
      <c r="I95" s="11">
        <f t="shared" si="12"/>
        <v>0.88087978273570822</v>
      </c>
      <c r="J95" s="3"/>
      <c r="K95" s="3"/>
      <c r="L95" s="3"/>
      <c r="M95" s="3"/>
      <c r="N95" s="6"/>
      <c r="O95" s="12">
        <v>17583.488249999999</v>
      </c>
      <c r="P95" s="12">
        <v>-7966.3853069999996</v>
      </c>
      <c r="Q95" s="12">
        <v>3111.0897650000002</v>
      </c>
      <c r="R95" s="12">
        <v>0.92013203470000005</v>
      </c>
      <c r="S95" s="12">
        <v>12729.11284</v>
      </c>
      <c r="T95" s="3"/>
      <c r="U95" s="3"/>
      <c r="V95" s="9">
        <v>0.64</v>
      </c>
      <c r="W95" s="9">
        <v>1</v>
      </c>
      <c r="X95" s="3"/>
      <c r="Y95" s="3"/>
      <c r="Z95" s="3"/>
    </row>
    <row r="96" spans="1:26" x14ac:dyDescent="0.25">
      <c r="A96" s="3"/>
      <c r="B96" s="3"/>
      <c r="C96" s="9">
        <f t="shared" si="7"/>
        <v>10568.108716162162</v>
      </c>
      <c r="D96" s="9">
        <f t="shared" si="8"/>
        <v>-4587.1120399999991</v>
      </c>
      <c r="E96" s="9">
        <f t="shared" si="9"/>
        <v>1980.2438397368423</v>
      </c>
      <c r="F96" s="9">
        <f t="shared" si="10"/>
        <v>-0.99971001709999996</v>
      </c>
      <c r="G96" s="9">
        <f t="shared" si="11"/>
        <v>7960.2408058819046</v>
      </c>
      <c r="H96" s="10">
        <v>-6</v>
      </c>
      <c r="I96" s="11">
        <f t="shared" si="12"/>
        <v>0.79602408058819041</v>
      </c>
      <c r="J96" s="3"/>
      <c r="K96" s="3"/>
      <c r="L96" s="3"/>
      <c r="M96" s="3"/>
      <c r="N96" s="6"/>
      <c r="O96" s="12">
        <v>16429.412710000001</v>
      </c>
      <c r="P96" s="12">
        <v>-8371.4794729999994</v>
      </c>
      <c r="Q96" s="12">
        <v>3307.6600400000002</v>
      </c>
      <c r="R96" s="12">
        <v>-0.99971001709999996</v>
      </c>
      <c r="S96" s="12">
        <v>11364.593559999999</v>
      </c>
      <c r="T96" s="3"/>
      <c r="U96" s="3"/>
      <c r="V96" s="9">
        <v>0.64</v>
      </c>
      <c r="W96" s="9">
        <v>1</v>
      </c>
      <c r="X96" s="3"/>
      <c r="Y96" s="3"/>
      <c r="Z96" s="3"/>
    </row>
    <row r="97" spans="1:26" x14ac:dyDescent="0.25">
      <c r="A97" s="3"/>
      <c r="B97" s="3"/>
      <c r="C97" s="9">
        <f t="shared" si="7"/>
        <v>9866.8171700000003</v>
      </c>
      <c r="D97" s="9">
        <f t="shared" si="8"/>
        <v>-4797.1714684931503</v>
      </c>
      <c r="E97" s="9">
        <f t="shared" si="9"/>
        <v>2109.022579539474</v>
      </c>
      <c r="F97" s="9">
        <f t="shared" si="10"/>
        <v>-0.96428885399999997</v>
      </c>
      <c r="G97" s="9">
        <f t="shared" si="11"/>
        <v>7177.7039921923242</v>
      </c>
      <c r="H97" s="10">
        <v>-5</v>
      </c>
      <c r="I97" s="11">
        <f t="shared" si="12"/>
        <v>0.71777039921923247</v>
      </c>
      <c r="J97" s="3"/>
      <c r="K97" s="3"/>
      <c r="L97" s="3"/>
      <c r="M97" s="3"/>
      <c r="N97" s="6"/>
      <c r="O97" s="12">
        <v>15339.169550000001</v>
      </c>
      <c r="P97" s="12">
        <v>-8754.8379299999997</v>
      </c>
      <c r="Q97" s="12">
        <v>3522.7629900000002</v>
      </c>
      <c r="R97" s="12">
        <v>-0.96428885399999997</v>
      </c>
      <c r="S97" s="12">
        <v>10106.13032</v>
      </c>
      <c r="T97" s="3"/>
      <c r="U97" s="3"/>
      <c r="V97" s="9">
        <v>0.64</v>
      </c>
      <c r="W97" s="9">
        <v>1</v>
      </c>
      <c r="X97" s="3"/>
      <c r="Y97" s="3"/>
      <c r="Z97" s="3"/>
    </row>
    <row r="98" spans="1:26" x14ac:dyDescent="0.25">
      <c r="A98" s="3"/>
      <c r="B98" s="3"/>
      <c r="C98" s="9">
        <f t="shared" si="7"/>
        <v>9207.136238054054</v>
      </c>
      <c r="D98" s="9">
        <f t="shared" si="8"/>
        <v>-4989.864974246575</v>
      </c>
      <c r="E98" s="9">
        <f t="shared" si="9"/>
        <v>2249.4978810131579</v>
      </c>
      <c r="F98" s="9">
        <f t="shared" si="10"/>
        <v>0.83754892479999998</v>
      </c>
      <c r="G98" s="9">
        <f t="shared" si="11"/>
        <v>6467.606693745437</v>
      </c>
      <c r="H98" s="10">
        <v>-4</v>
      </c>
      <c r="I98" s="11">
        <f t="shared" si="12"/>
        <v>0.64676066937454368</v>
      </c>
      <c r="J98" s="3"/>
      <c r="K98" s="3"/>
      <c r="L98" s="3"/>
      <c r="M98" s="3"/>
      <c r="N98" s="6"/>
      <c r="O98" s="12">
        <v>14313.615159999999</v>
      </c>
      <c r="P98" s="12">
        <v>-9106.5035779999998</v>
      </c>
      <c r="Q98" s="12">
        <v>3757.4030539999999</v>
      </c>
      <c r="R98" s="12">
        <v>0.83754892479999998</v>
      </c>
      <c r="S98" s="12">
        <v>8965.3521889999993</v>
      </c>
      <c r="T98" s="3"/>
      <c r="U98" s="3"/>
      <c r="V98" s="9">
        <v>0.64</v>
      </c>
      <c r="W98" s="9">
        <v>1</v>
      </c>
      <c r="X98" s="3"/>
      <c r="Y98" s="3"/>
      <c r="Z98" s="3"/>
    </row>
    <row r="99" spans="1:26" x14ac:dyDescent="0.25">
      <c r="A99" s="3"/>
      <c r="B99" s="3"/>
      <c r="C99" s="9">
        <f t="shared" si="7"/>
        <v>8586.0944967567575</v>
      </c>
      <c r="D99" s="9">
        <f t="shared" si="8"/>
        <v>-5162.1620641095888</v>
      </c>
      <c r="E99" s="9">
        <f t="shared" si="9"/>
        <v>2399.9874373355265</v>
      </c>
      <c r="F99" s="9">
        <f t="shared" si="10"/>
        <v>-9.566215049E-2</v>
      </c>
      <c r="G99" s="9">
        <f t="shared" si="11"/>
        <v>5823.8242078322055</v>
      </c>
      <c r="H99" s="10">
        <v>-3</v>
      </c>
      <c r="I99" s="11">
        <f t="shared" si="12"/>
        <v>0.58238242078322056</v>
      </c>
      <c r="J99" s="3"/>
      <c r="K99" s="3"/>
      <c r="L99" s="3"/>
      <c r="M99" s="3"/>
      <c r="N99" s="6"/>
      <c r="O99" s="12">
        <v>13348.1301</v>
      </c>
      <c r="P99" s="12">
        <v>-9420.9457669999993</v>
      </c>
      <c r="Q99" s="12">
        <v>4008.7702250000002</v>
      </c>
      <c r="R99" s="12">
        <v>-9.566215049E-2</v>
      </c>
      <c r="S99" s="12">
        <v>7935.8588920000002</v>
      </c>
      <c r="T99" s="3"/>
      <c r="U99" s="3"/>
      <c r="V99" s="9">
        <v>0.64</v>
      </c>
      <c r="W99" s="9">
        <v>1</v>
      </c>
      <c r="X99" s="3"/>
      <c r="Y99" s="3"/>
      <c r="Z99" s="3"/>
    </row>
    <row r="100" spans="1:26" x14ac:dyDescent="0.25">
      <c r="A100" s="3"/>
      <c r="B100" s="3"/>
      <c r="C100" s="9">
        <f t="shared" si="7"/>
        <v>8006.7596374594586</v>
      </c>
      <c r="D100" s="9">
        <f t="shared" si="8"/>
        <v>-5305.7914975342455</v>
      </c>
      <c r="E100" s="9">
        <f t="shared" si="9"/>
        <v>2564.791161348684</v>
      </c>
      <c r="F100" s="9">
        <f t="shared" si="10"/>
        <v>1.932216272</v>
      </c>
      <c r="G100" s="9">
        <f t="shared" si="11"/>
        <v>5267.6915175458971</v>
      </c>
      <c r="H100" s="10">
        <v>-2</v>
      </c>
      <c r="I100" s="11">
        <f t="shared" si="12"/>
        <v>0.52676915175458972</v>
      </c>
      <c r="J100" s="3"/>
      <c r="K100" s="3"/>
      <c r="L100" s="3"/>
      <c r="M100" s="3"/>
      <c r="N100" s="6"/>
      <c r="O100" s="12">
        <v>12447.483469999999</v>
      </c>
      <c r="P100" s="12">
        <v>-9683.0694829999993</v>
      </c>
      <c r="Q100" s="12">
        <v>4284.0467749999998</v>
      </c>
      <c r="R100" s="12">
        <v>1.932216272</v>
      </c>
      <c r="S100" s="12">
        <v>7050.3929740000003</v>
      </c>
      <c r="T100" s="3"/>
      <c r="U100" s="3"/>
      <c r="V100" s="9">
        <v>0.64</v>
      </c>
      <c r="W100" s="9">
        <v>1</v>
      </c>
      <c r="X100" s="3"/>
      <c r="Y100" s="3"/>
      <c r="Z100" s="3"/>
    </row>
    <row r="101" spans="1:26" x14ac:dyDescent="0.25">
      <c r="A101" s="3"/>
      <c r="B101" s="3"/>
      <c r="C101" s="9">
        <f t="shared" si="7"/>
        <v>7463.5103767567562</v>
      </c>
      <c r="D101" s="9">
        <f t="shared" si="8"/>
        <v>-5419.9662367123283</v>
      </c>
      <c r="E101" s="9">
        <f t="shared" si="9"/>
        <v>2740.5668655197369</v>
      </c>
      <c r="F101" s="9">
        <f t="shared" si="10"/>
        <v>-0.59230452479999995</v>
      </c>
      <c r="G101" s="9">
        <f t="shared" si="11"/>
        <v>4783.5187010393647</v>
      </c>
      <c r="H101" s="10">
        <v>-1</v>
      </c>
      <c r="I101" s="11">
        <f t="shared" si="12"/>
        <v>0.47835187010393648</v>
      </c>
      <c r="J101" s="3"/>
      <c r="K101" s="3"/>
      <c r="L101" s="3"/>
      <c r="M101" s="3"/>
      <c r="N101" s="6"/>
      <c r="O101" s="12">
        <v>11602.936299999999</v>
      </c>
      <c r="P101" s="12">
        <v>-9891.4383820000003</v>
      </c>
      <c r="Q101" s="12">
        <v>4577.6501490000001</v>
      </c>
      <c r="R101" s="12">
        <v>-0.59230452479999995</v>
      </c>
      <c r="S101" s="12">
        <v>6288.5557570000001</v>
      </c>
      <c r="T101" s="3"/>
      <c r="U101" s="3"/>
      <c r="V101" s="9">
        <v>0.64</v>
      </c>
      <c r="W101" s="9">
        <v>1</v>
      </c>
      <c r="X101" s="3"/>
      <c r="Y101" s="3"/>
      <c r="Z101" s="3"/>
    </row>
    <row r="102" spans="1:26" x14ac:dyDescent="0.25">
      <c r="A102" s="3"/>
      <c r="B102" s="3"/>
      <c r="C102" s="9">
        <f t="shared" si="7"/>
        <v>6959.3480554594589</v>
      </c>
      <c r="D102" s="9">
        <f t="shared" si="8"/>
        <v>-5497.3200328767125</v>
      </c>
      <c r="E102" s="9">
        <f t="shared" si="9"/>
        <v>2932.4904741907894</v>
      </c>
      <c r="F102" s="9">
        <f t="shared" si="10"/>
        <v>-0.79869982890000002</v>
      </c>
      <c r="G102" s="9">
        <f t="shared" si="11"/>
        <v>4393.7197969446361</v>
      </c>
      <c r="H102" s="10">
        <v>0</v>
      </c>
      <c r="I102" s="11">
        <f t="shared" si="12"/>
        <v>0.43937197969446362</v>
      </c>
      <c r="J102" s="3"/>
      <c r="K102" s="3"/>
      <c r="L102" s="3"/>
      <c r="M102" s="3"/>
      <c r="N102" s="6"/>
      <c r="O102" s="12">
        <v>10819.15454</v>
      </c>
      <c r="P102" s="12">
        <v>-10032.609060000001</v>
      </c>
      <c r="Q102" s="12">
        <v>4898.2258469999997</v>
      </c>
      <c r="R102" s="12">
        <v>-0.79869982890000002</v>
      </c>
      <c r="S102" s="12">
        <v>5683.9726330000003</v>
      </c>
      <c r="T102" s="3"/>
      <c r="U102" s="3"/>
      <c r="V102" s="9">
        <v>0.64</v>
      </c>
      <c r="W102" s="9">
        <v>1</v>
      </c>
      <c r="X102" s="3"/>
      <c r="Y102" s="3"/>
      <c r="Z102" s="3"/>
    </row>
    <row r="103" spans="1:26" x14ac:dyDescent="0.25">
      <c r="A103" s="3"/>
      <c r="B103" s="3"/>
      <c r="C103" s="9">
        <f t="shared" si="7"/>
        <v>6490.236367243243</v>
      </c>
      <c r="D103" s="9">
        <f t="shared" si="8"/>
        <v>-5536.8452109589034</v>
      </c>
      <c r="E103" s="9">
        <f t="shared" si="9"/>
        <v>3140.3148505197369</v>
      </c>
      <c r="F103" s="9">
        <f t="shared" si="10"/>
        <v>-1.817293719</v>
      </c>
      <c r="G103" s="9">
        <f t="shared" si="11"/>
        <v>4091.8887130850762</v>
      </c>
      <c r="H103" s="10">
        <v>1</v>
      </c>
      <c r="I103" s="11">
        <f t="shared" si="12"/>
        <v>0.40918887130850762</v>
      </c>
      <c r="J103" s="3"/>
      <c r="K103" s="3"/>
      <c r="L103" s="3"/>
      <c r="M103" s="3"/>
      <c r="N103" s="6"/>
      <c r="O103" s="12">
        <v>10089.86326</v>
      </c>
      <c r="P103" s="12">
        <v>-10104.74251</v>
      </c>
      <c r="Q103" s="12">
        <v>5245.3610689999996</v>
      </c>
      <c r="R103" s="12">
        <v>-1.817293719</v>
      </c>
      <c r="S103" s="12">
        <v>5228.6645319999998</v>
      </c>
      <c r="T103" s="3"/>
      <c r="U103" s="3"/>
      <c r="V103" s="9">
        <v>0.64</v>
      </c>
      <c r="W103" s="9">
        <v>1</v>
      </c>
      <c r="X103" s="3"/>
      <c r="Y103" s="3"/>
      <c r="Z103" s="3"/>
    </row>
    <row r="104" spans="1:26" x14ac:dyDescent="0.25">
      <c r="A104" s="3"/>
      <c r="B104" s="3"/>
      <c r="C104" s="9">
        <f t="shared" si="7"/>
        <v>6056.0577825621622</v>
      </c>
      <c r="D104" s="9">
        <f t="shared" si="8"/>
        <v>-5535.7139452054789</v>
      </c>
      <c r="E104" s="9">
        <f t="shared" si="9"/>
        <v>3367.2729389342107</v>
      </c>
      <c r="F104" s="9">
        <f t="shared" si="10"/>
        <v>-0.77564534730000001</v>
      </c>
      <c r="G104" s="9">
        <f t="shared" si="11"/>
        <v>3886.8411309435942</v>
      </c>
      <c r="H104" s="10">
        <v>2</v>
      </c>
      <c r="I104" s="11">
        <f t="shared" si="12"/>
        <v>0.38868411309435941</v>
      </c>
      <c r="J104" s="3"/>
      <c r="K104" s="3"/>
      <c r="L104" s="3"/>
      <c r="M104" s="3"/>
      <c r="N104" s="6"/>
      <c r="O104" s="12">
        <v>9414.8797460000005</v>
      </c>
      <c r="P104" s="12">
        <v>-10102.677949999999</v>
      </c>
      <c r="Q104" s="12">
        <v>5624.4558980000002</v>
      </c>
      <c r="R104" s="12">
        <v>-0.77564534730000001</v>
      </c>
      <c r="S104" s="12">
        <v>4935.8820509999996</v>
      </c>
      <c r="T104" s="3"/>
      <c r="U104" s="3"/>
      <c r="V104" s="9">
        <v>0.64</v>
      </c>
      <c r="W104" s="9">
        <v>1</v>
      </c>
      <c r="X104" s="3"/>
      <c r="Y104" s="3"/>
      <c r="Z104" s="3"/>
    </row>
    <row r="105" spans="1:26" x14ac:dyDescent="0.25">
      <c r="A105" s="3"/>
      <c r="B105" s="3"/>
      <c r="C105" s="9">
        <f t="shared" si="7"/>
        <v>5655.0925333567575</v>
      </c>
      <c r="D105" s="9">
        <f t="shared" si="8"/>
        <v>-5494.3337041095883</v>
      </c>
      <c r="E105" s="9">
        <f t="shared" si="9"/>
        <v>3614.2115788486844</v>
      </c>
      <c r="F105" s="9">
        <f t="shared" si="10"/>
        <v>1.700864146</v>
      </c>
      <c r="G105" s="9">
        <f t="shared" si="11"/>
        <v>3776.6712722418538</v>
      </c>
      <c r="H105" s="10">
        <v>3</v>
      </c>
      <c r="I105" s="11">
        <f t="shared" si="12"/>
        <v>0.37766712722418538</v>
      </c>
      <c r="J105" s="3"/>
      <c r="K105" s="3"/>
      <c r="L105" s="3"/>
      <c r="M105" s="3"/>
      <c r="N105" s="6"/>
      <c r="O105" s="12">
        <v>8791.5304090000009</v>
      </c>
      <c r="P105" s="12">
        <v>-10027.159009999999</v>
      </c>
      <c r="Q105" s="12">
        <v>6036.9248349999998</v>
      </c>
      <c r="R105" s="12">
        <v>1.700864146</v>
      </c>
      <c r="S105" s="12">
        <v>4802.9970979999998</v>
      </c>
      <c r="T105" s="3"/>
      <c r="U105" s="3"/>
      <c r="V105" s="9">
        <v>0.64</v>
      </c>
      <c r="W105" s="9">
        <v>1</v>
      </c>
      <c r="X105" s="3"/>
      <c r="Y105" s="3"/>
      <c r="Z105" s="3"/>
    </row>
    <row r="106" spans="1:26" x14ac:dyDescent="0.25">
      <c r="A106" s="3"/>
      <c r="B106" s="3"/>
      <c r="C106" s="9">
        <f t="shared" si="7"/>
        <v>5282.1996015675677</v>
      </c>
      <c r="D106" s="9">
        <f t="shared" si="8"/>
        <v>-5416.0938328767124</v>
      </c>
      <c r="E106" s="9">
        <f t="shared" si="9"/>
        <v>3881.0256125789474</v>
      </c>
      <c r="F106" s="9">
        <f t="shared" si="10"/>
        <v>1.561857805</v>
      </c>
      <c r="G106" s="9">
        <f t="shared" si="11"/>
        <v>3748.6932390748025</v>
      </c>
      <c r="H106" s="10">
        <v>4</v>
      </c>
      <c r="I106" s="11">
        <f t="shared" si="12"/>
        <v>0.37486932390748023</v>
      </c>
      <c r="J106" s="3"/>
      <c r="K106" s="3"/>
      <c r="L106" s="3"/>
      <c r="M106" s="3"/>
      <c r="N106" s="6"/>
      <c r="O106" s="12">
        <v>8211.8229100000008</v>
      </c>
      <c r="P106" s="12">
        <v>-9884.3712450000003</v>
      </c>
      <c r="Q106" s="12">
        <v>6482.592232</v>
      </c>
      <c r="R106" s="12">
        <v>1.561857805</v>
      </c>
      <c r="S106" s="12">
        <v>4811.6057540000002</v>
      </c>
      <c r="T106" s="3"/>
      <c r="U106" s="3"/>
      <c r="V106" s="9">
        <v>0.64</v>
      </c>
      <c r="W106" s="9">
        <v>1</v>
      </c>
      <c r="X106" s="3"/>
      <c r="Y106" s="3"/>
      <c r="Z106" s="3"/>
    </row>
    <row r="107" spans="1:26" x14ac:dyDescent="0.25">
      <c r="A107" s="3"/>
      <c r="B107" s="3"/>
      <c r="C107" s="9">
        <f t="shared" si="7"/>
        <v>4935.9359539567567</v>
      </c>
      <c r="D107" s="9">
        <f t="shared" si="8"/>
        <v>-5304.0635369863012</v>
      </c>
      <c r="E107" s="9">
        <f t="shared" si="9"/>
        <v>4169.3112292171054</v>
      </c>
      <c r="F107" s="9">
        <f t="shared" si="10"/>
        <v>-1.121094075</v>
      </c>
      <c r="G107" s="9">
        <f t="shared" si="11"/>
        <v>3800.0625521125608</v>
      </c>
      <c r="H107" s="10">
        <v>5</v>
      </c>
      <c r="I107" s="11">
        <f t="shared" si="12"/>
        <v>0.38000625521125608</v>
      </c>
      <c r="J107" s="3"/>
      <c r="K107" s="3"/>
      <c r="L107" s="3"/>
      <c r="M107" s="3"/>
      <c r="N107" s="6"/>
      <c r="O107" s="12">
        <v>7673.5138779999997</v>
      </c>
      <c r="P107" s="12">
        <v>-9679.9159550000004</v>
      </c>
      <c r="Q107" s="12">
        <v>6964.1242510000002</v>
      </c>
      <c r="R107" s="12">
        <v>-1.121094075</v>
      </c>
      <c r="S107" s="12">
        <v>4956.6010800000004</v>
      </c>
      <c r="T107" s="3"/>
      <c r="U107" s="3"/>
      <c r="V107" s="9">
        <v>0.64</v>
      </c>
      <c r="W107" s="9">
        <v>1</v>
      </c>
      <c r="X107" s="3"/>
      <c r="Y107" s="3"/>
      <c r="Z107" s="3"/>
    </row>
    <row r="108" spans="1:26" x14ac:dyDescent="0.25">
      <c r="A108" s="3"/>
      <c r="B108" s="3"/>
      <c r="C108" s="9">
        <f t="shared" si="7"/>
        <v>4618.8476122486481</v>
      </c>
      <c r="D108" s="9">
        <f t="shared" si="8"/>
        <v>-5158.5883917808214</v>
      </c>
      <c r="E108" s="9">
        <f t="shared" si="9"/>
        <v>4484.9394805526317</v>
      </c>
      <c r="F108" s="9">
        <f t="shared" si="10"/>
        <v>0.51419806960000003</v>
      </c>
      <c r="G108" s="9">
        <f t="shared" si="11"/>
        <v>3945.7128990900583</v>
      </c>
      <c r="H108" s="10">
        <v>6</v>
      </c>
      <c r="I108" s="11">
        <f t="shared" si="12"/>
        <v>0.39457128990900581</v>
      </c>
      <c r="J108" s="3"/>
      <c r="K108" s="3"/>
      <c r="L108" s="3"/>
      <c r="M108" s="3"/>
      <c r="N108" s="6"/>
      <c r="O108" s="12">
        <v>7180.5614139999998</v>
      </c>
      <c r="P108" s="12">
        <v>-9414.4238150000001</v>
      </c>
      <c r="Q108" s="12">
        <v>7491.3274840000004</v>
      </c>
      <c r="R108" s="12">
        <v>0.51419806960000003</v>
      </c>
      <c r="S108" s="12">
        <v>5257.9792820000002</v>
      </c>
      <c r="T108" s="3"/>
      <c r="U108" s="3"/>
      <c r="V108" s="9">
        <v>0.64</v>
      </c>
      <c r="W108" s="9">
        <v>1</v>
      </c>
      <c r="X108" s="3"/>
      <c r="Y108" s="3"/>
      <c r="Z108" s="3"/>
    </row>
    <row r="109" spans="1:26" x14ac:dyDescent="0.25">
      <c r="A109" s="3"/>
      <c r="B109" s="3"/>
      <c r="C109" s="9">
        <f t="shared" si="7"/>
        <v>4325.3476448000001</v>
      </c>
      <c r="D109" s="9">
        <f t="shared" si="8"/>
        <v>-4986.9736378082189</v>
      </c>
      <c r="E109" s="9">
        <f t="shared" si="9"/>
        <v>4826.9139662763164</v>
      </c>
      <c r="F109" s="9">
        <f t="shared" si="10"/>
        <v>0.99402502420000005</v>
      </c>
      <c r="G109" s="9">
        <f t="shared" si="11"/>
        <v>4166.2819982922974</v>
      </c>
      <c r="H109" s="10">
        <v>7</v>
      </c>
      <c r="I109" s="11">
        <f t="shared" si="12"/>
        <v>0.41662819982922972</v>
      </c>
      <c r="J109" s="3"/>
      <c r="K109" s="3"/>
      <c r="L109" s="3"/>
      <c r="M109" s="3"/>
      <c r="N109" s="6"/>
      <c r="O109" s="12">
        <v>6724.2799519999999</v>
      </c>
      <c r="P109" s="12">
        <v>-9101.2268889999996</v>
      </c>
      <c r="Q109" s="12">
        <v>8062.5376139999998</v>
      </c>
      <c r="R109" s="12">
        <v>0.99402502420000005</v>
      </c>
      <c r="S109" s="12">
        <v>5686.5847020000001</v>
      </c>
      <c r="T109" s="3"/>
      <c r="U109" s="3"/>
      <c r="V109" s="9">
        <v>0.64</v>
      </c>
      <c r="W109" s="9">
        <v>1</v>
      </c>
      <c r="X109" s="3"/>
      <c r="Y109" s="3"/>
      <c r="Z109" s="3"/>
    </row>
    <row r="110" spans="1:26" x14ac:dyDescent="0.25">
      <c r="A110" s="3"/>
      <c r="B110" s="3"/>
      <c r="C110" s="9">
        <f t="shared" si="7"/>
        <v>4055.1204558918917</v>
      </c>
      <c r="D110" s="9">
        <f t="shared" si="8"/>
        <v>-4794.5449227397257</v>
      </c>
      <c r="E110" s="9">
        <f t="shared" si="9"/>
        <v>5197.6047706118425</v>
      </c>
      <c r="F110" s="9">
        <f t="shared" si="10"/>
        <v>1.504639769</v>
      </c>
      <c r="G110" s="9">
        <f t="shared" si="11"/>
        <v>4459.6849435330087</v>
      </c>
      <c r="H110" s="10">
        <v>8</v>
      </c>
      <c r="I110" s="11">
        <f t="shared" si="12"/>
        <v>0.44596849435330088</v>
      </c>
      <c r="J110" s="3"/>
      <c r="K110" s="3"/>
      <c r="L110" s="3"/>
      <c r="M110" s="3"/>
      <c r="N110" s="6"/>
      <c r="O110" s="12">
        <v>6304.17886</v>
      </c>
      <c r="P110" s="12">
        <v>-8750.044484</v>
      </c>
      <c r="Q110" s="12">
        <v>8681.713463</v>
      </c>
      <c r="R110" s="12">
        <v>1.504639769</v>
      </c>
      <c r="S110" s="12">
        <v>6237.3524790000001</v>
      </c>
      <c r="T110" s="3"/>
      <c r="U110" s="3"/>
      <c r="V110" s="9">
        <v>0.64</v>
      </c>
      <c r="W110" s="9">
        <v>1</v>
      </c>
      <c r="X110" s="3"/>
      <c r="Y110" s="3"/>
      <c r="Z110" s="3"/>
    </row>
    <row r="111" spans="1:26" x14ac:dyDescent="0.25">
      <c r="A111" s="3"/>
      <c r="B111" s="3"/>
      <c r="C111" s="9">
        <f t="shared" si="7"/>
        <v>3805.9475954216214</v>
      </c>
      <c r="D111" s="9">
        <f t="shared" si="8"/>
        <v>-4587.2657731506843</v>
      </c>
      <c r="E111" s="9">
        <f t="shared" si="9"/>
        <v>5598.2495055328945</v>
      </c>
      <c r="F111" s="9">
        <f t="shared" si="10"/>
        <v>1.042479865</v>
      </c>
      <c r="G111" s="9">
        <f t="shared" si="11"/>
        <v>4817.9738076688318</v>
      </c>
      <c r="H111" s="10">
        <v>9</v>
      </c>
      <c r="I111" s="11">
        <f t="shared" si="12"/>
        <v>0.48179738076688317</v>
      </c>
      <c r="J111" s="3"/>
      <c r="K111" s="3"/>
      <c r="L111" s="3"/>
      <c r="M111" s="3"/>
      <c r="N111" s="6"/>
      <c r="O111" s="12">
        <v>5916.809287</v>
      </c>
      <c r="P111" s="12">
        <v>-8371.7600359999997</v>
      </c>
      <c r="Q111" s="12">
        <v>9350.922251</v>
      </c>
      <c r="R111" s="12">
        <v>1.042479865</v>
      </c>
      <c r="S111" s="12">
        <v>6897.0139820000004</v>
      </c>
      <c r="T111" s="3"/>
      <c r="U111" s="3"/>
      <c r="V111" s="9">
        <v>0.64</v>
      </c>
      <c r="W111" s="9">
        <v>1</v>
      </c>
      <c r="X111" s="3"/>
      <c r="Y111" s="3"/>
      <c r="Z111" s="3"/>
    </row>
    <row r="112" spans="1:26" x14ac:dyDescent="0.25">
      <c r="A112" s="3"/>
      <c r="B112" s="3"/>
      <c r="C112" s="9">
        <f t="shared" si="7"/>
        <v>3575.7741836108107</v>
      </c>
      <c r="D112" s="9">
        <f t="shared" si="8"/>
        <v>-4371.4955342465746</v>
      </c>
      <c r="E112" s="9">
        <f t="shared" si="9"/>
        <v>6029.5098559868429</v>
      </c>
      <c r="F112" s="9">
        <f t="shared" si="10"/>
        <v>-1.6498762950000001</v>
      </c>
      <c r="G112" s="9">
        <f t="shared" si="11"/>
        <v>5232.1386290560795</v>
      </c>
      <c r="H112" s="10">
        <v>10</v>
      </c>
      <c r="I112" s="11">
        <f t="shared" si="12"/>
        <v>0.5232138629056079</v>
      </c>
      <c r="J112" s="3"/>
      <c r="K112" s="3"/>
      <c r="L112" s="3"/>
      <c r="M112" s="3"/>
      <c r="N112" s="6"/>
      <c r="O112" s="12">
        <v>5558.9766719999998</v>
      </c>
      <c r="P112" s="12">
        <v>-7977.9793499999996</v>
      </c>
      <c r="Q112" s="12">
        <v>10071.26921</v>
      </c>
      <c r="R112" s="12">
        <v>-1.6498762950000001</v>
      </c>
      <c r="S112" s="12">
        <v>7650.6166519999997</v>
      </c>
      <c r="T112" s="3"/>
      <c r="U112" s="3"/>
      <c r="V112" s="9">
        <v>0.64</v>
      </c>
      <c r="W112" s="9">
        <v>1</v>
      </c>
      <c r="X112" s="3"/>
      <c r="Y112" s="3"/>
      <c r="Z112" s="3"/>
    </row>
    <row r="113" spans="1:26" x14ac:dyDescent="0.25">
      <c r="A113" s="3"/>
      <c r="B113" s="3"/>
      <c r="C113" s="9">
        <f t="shared" si="7"/>
        <v>3367.1517412702706</v>
      </c>
      <c r="D113" s="9">
        <f t="shared" si="8"/>
        <v>-4149.0182104109581</v>
      </c>
      <c r="E113" s="9">
        <f t="shared" si="9"/>
        <v>6495.3212546710538</v>
      </c>
      <c r="F113" s="9">
        <f t="shared" si="10"/>
        <v>-0.50525510640000004</v>
      </c>
      <c r="G113" s="9">
        <f t="shared" si="11"/>
        <v>5712.9495304239663</v>
      </c>
      <c r="H113" s="10">
        <v>11</v>
      </c>
      <c r="I113" s="11">
        <f t="shared" si="12"/>
        <v>0.57129495304239664</v>
      </c>
      <c r="J113" s="3"/>
      <c r="K113" s="3"/>
      <c r="L113" s="3"/>
      <c r="M113" s="3"/>
      <c r="N113" s="6"/>
      <c r="O113" s="12">
        <v>5234.6476650000004</v>
      </c>
      <c r="P113" s="12">
        <v>-7571.9582339999997</v>
      </c>
      <c r="Q113" s="12">
        <v>10849.327810000001</v>
      </c>
      <c r="R113" s="12">
        <v>-0.50525510640000004</v>
      </c>
      <c r="S113" s="12">
        <v>8511.5119880000002</v>
      </c>
      <c r="T113" s="3"/>
      <c r="U113" s="3"/>
      <c r="V113" s="9">
        <v>0.64</v>
      </c>
      <c r="W113" s="9">
        <v>1</v>
      </c>
      <c r="X113" s="3"/>
      <c r="Y113" s="3"/>
      <c r="Z113" s="3"/>
    </row>
    <row r="114" spans="1:26" x14ac:dyDescent="0.25">
      <c r="A114" s="3"/>
      <c r="B114" s="3"/>
      <c r="C114" s="9">
        <f t="shared" si="7"/>
        <v>3174.7549515027026</v>
      </c>
      <c r="D114" s="9">
        <f t="shared" si="8"/>
        <v>-3927.5944991780821</v>
      </c>
      <c r="E114" s="9">
        <f t="shared" si="9"/>
        <v>6990.9224373026318</v>
      </c>
      <c r="F114" s="9">
        <f t="shared" si="10"/>
        <v>-1.870056516</v>
      </c>
      <c r="G114" s="9">
        <f t="shared" si="11"/>
        <v>6236.2128331112526</v>
      </c>
      <c r="H114" s="10">
        <v>12</v>
      </c>
      <c r="I114" s="11">
        <f t="shared" si="12"/>
        <v>0.62362128331112521</v>
      </c>
      <c r="J114" s="3"/>
      <c r="K114" s="3"/>
      <c r="L114" s="3"/>
      <c r="M114" s="3"/>
      <c r="N114" s="6"/>
      <c r="O114" s="12">
        <v>4935.543412</v>
      </c>
      <c r="P114" s="12">
        <v>-7167.8599610000001</v>
      </c>
      <c r="Q114" s="12">
        <v>11677.14517</v>
      </c>
      <c r="R114" s="12">
        <v>-1.870056516</v>
      </c>
      <c r="S114" s="12">
        <v>9442.958568</v>
      </c>
      <c r="T114" s="3"/>
      <c r="U114" s="3"/>
      <c r="V114" s="9">
        <v>0.64</v>
      </c>
      <c r="W114" s="9">
        <v>1</v>
      </c>
      <c r="X114" s="3"/>
      <c r="Y114" s="3"/>
      <c r="Z114" s="3"/>
    </row>
    <row r="115" spans="1:26" x14ac:dyDescent="0.25">
      <c r="A115" s="3"/>
      <c r="B115" s="3"/>
      <c r="C115" s="9">
        <f t="shared" si="7"/>
        <v>3000.6809648162161</v>
      </c>
      <c r="D115" s="9">
        <f t="shared" si="8"/>
        <v>-3709.0898849315067</v>
      </c>
      <c r="E115" s="9">
        <f t="shared" si="9"/>
        <v>7517.8153888157904</v>
      </c>
      <c r="F115" s="9">
        <f t="shared" si="10"/>
        <v>-0.98536599359999999</v>
      </c>
      <c r="G115" s="9">
        <f t="shared" si="11"/>
        <v>6808.4211027068995</v>
      </c>
      <c r="H115" s="10">
        <v>13</v>
      </c>
      <c r="I115" s="11">
        <f t="shared" si="12"/>
        <v>0.68084211027068997</v>
      </c>
      <c r="J115" s="3"/>
      <c r="K115" s="3"/>
      <c r="L115" s="3"/>
      <c r="M115" s="3"/>
      <c r="N115" s="6"/>
      <c r="O115" s="12">
        <v>4664.9241890000003</v>
      </c>
      <c r="P115" s="12">
        <v>-6769.0890399999998</v>
      </c>
      <c r="Q115" s="12">
        <v>12557.230100000001</v>
      </c>
      <c r="R115" s="12">
        <v>-0.98536599359999999</v>
      </c>
      <c r="S115" s="12">
        <v>10452.079890000001</v>
      </c>
      <c r="T115" s="3"/>
      <c r="U115" s="3"/>
      <c r="V115" s="9">
        <v>0.64</v>
      </c>
      <c r="W115" s="9">
        <v>1</v>
      </c>
      <c r="X115" s="3"/>
      <c r="Y115" s="3"/>
      <c r="Z115" s="3"/>
    </row>
    <row r="116" spans="1:26" x14ac:dyDescent="0.25">
      <c r="A116" s="3"/>
      <c r="B116" s="3"/>
      <c r="C116" s="9">
        <f t="shared" si="7"/>
        <v>2842.025002145946</v>
      </c>
      <c r="D116" s="9">
        <f t="shared" si="8"/>
        <v>-3497.4460734246572</v>
      </c>
      <c r="E116" s="9">
        <f t="shared" si="9"/>
        <v>8069.7986867105265</v>
      </c>
      <c r="F116" s="9">
        <f t="shared" si="10"/>
        <v>-0.1601942629</v>
      </c>
      <c r="G116" s="9">
        <f t="shared" si="11"/>
        <v>7414.2174211689144</v>
      </c>
      <c r="H116" s="10">
        <v>14</v>
      </c>
      <c r="I116" s="11">
        <f t="shared" si="12"/>
        <v>0.74142174211689149</v>
      </c>
      <c r="J116" s="3"/>
      <c r="K116" s="3"/>
      <c r="L116" s="3"/>
      <c r="M116" s="3"/>
      <c r="N116" s="6"/>
      <c r="O116" s="12">
        <v>4418.274163</v>
      </c>
      <c r="P116" s="12">
        <v>-6382.8390840000002</v>
      </c>
      <c r="Q116" s="12">
        <v>13479.224179999999</v>
      </c>
      <c r="R116" s="12">
        <v>-0.1601942629</v>
      </c>
      <c r="S116" s="12">
        <v>11514.49907</v>
      </c>
      <c r="T116" s="3"/>
      <c r="U116" s="3"/>
      <c r="V116" s="9">
        <v>0.64</v>
      </c>
      <c r="W116" s="9">
        <v>1</v>
      </c>
      <c r="X116" s="3"/>
      <c r="Y116" s="3"/>
      <c r="Z116" s="3"/>
    </row>
    <row r="117" spans="1:26" x14ac:dyDescent="0.25">
      <c r="A117" s="3"/>
      <c r="B117" s="3"/>
      <c r="C117" s="9">
        <f t="shared" si="7"/>
        <v>2696.9282867081083</v>
      </c>
      <c r="D117" s="9">
        <f t="shared" si="8"/>
        <v>-3295.0417972602741</v>
      </c>
      <c r="E117" s="9">
        <f t="shared" si="9"/>
        <v>8639.8925890789487</v>
      </c>
      <c r="F117" s="9">
        <f t="shared" si="10"/>
        <v>-1.892353381E-2</v>
      </c>
      <c r="G117" s="9">
        <f t="shared" si="11"/>
        <v>8041.7601549929723</v>
      </c>
      <c r="H117" s="10">
        <v>15</v>
      </c>
      <c r="I117" s="11">
        <f t="shared" si="12"/>
        <v>0.80417601549929718</v>
      </c>
      <c r="J117" s="3"/>
      <c r="K117" s="3"/>
      <c r="L117" s="3"/>
      <c r="M117" s="3"/>
      <c r="N117" s="6"/>
      <c r="O117" s="12">
        <v>4192.7036390000003</v>
      </c>
      <c r="P117" s="12">
        <v>-6013.4512800000002</v>
      </c>
      <c r="Q117" s="12">
        <v>14431.468940000001</v>
      </c>
      <c r="R117" s="12">
        <v>-1.892353381E-2</v>
      </c>
      <c r="S117" s="12">
        <v>12610.702370000001</v>
      </c>
      <c r="T117" s="3"/>
      <c r="U117" s="3"/>
      <c r="V117" s="9">
        <v>0.64</v>
      </c>
      <c r="W117" s="9">
        <v>1</v>
      </c>
      <c r="X117" s="3"/>
      <c r="Y117" s="3"/>
      <c r="Z117" s="3"/>
    </row>
    <row r="118" spans="1:26" x14ac:dyDescent="0.25">
      <c r="A118" s="3"/>
      <c r="B118" s="3"/>
      <c r="C118" s="9">
        <f t="shared" si="7"/>
        <v>2564.1092225945945</v>
      </c>
      <c r="D118" s="9">
        <f t="shared" si="8"/>
        <v>-3103.6359621917809</v>
      </c>
      <c r="E118" s="9">
        <f t="shared" si="9"/>
        <v>9220.6414659210532</v>
      </c>
      <c r="F118" s="9">
        <f t="shared" si="10"/>
        <v>-0.51098541799999997</v>
      </c>
      <c r="G118" s="9">
        <f t="shared" si="11"/>
        <v>8680.6037409058681</v>
      </c>
      <c r="H118" s="10">
        <v>16</v>
      </c>
      <c r="I118" s="11">
        <f t="shared" si="12"/>
        <v>0.86806037409058678</v>
      </c>
      <c r="J118" s="3"/>
      <c r="K118" s="3"/>
      <c r="L118" s="3"/>
      <c r="M118" s="3"/>
      <c r="N118" s="6"/>
      <c r="O118" s="12">
        <v>3986.2202200000002</v>
      </c>
      <c r="P118" s="12">
        <v>-5664.1356310000001</v>
      </c>
      <c r="Q118" s="12">
        <v>15401.51102</v>
      </c>
      <c r="R118" s="12">
        <v>-0.51098541799999997</v>
      </c>
      <c r="S118" s="12">
        <v>13723.084629999999</v>
      </c>
      <c r="T118" s="3"/>
      <c r="U118" s="3"/>
      <c r="V118" s="9">
        <v>0.64</v>
      </c>
      <c r="W118" s="9">
        <v>1</v>
      </c>
      <c r="X118" s="3"/>
      <c r="Y118" s="3"/>
      <c r="Z118" s="3"/>
    </row>
    <row r="119" spans="1:26" x14ac:dyDescent="0.25">
      <c r="A119" s="3"/>
      <c r="B119" s="3"/>
      <c r="C119" s="9">
        <f t="shared" si="7"/>
        <v>2442.0410880486488</v>
      </c>
      <c r="D119" s="9">
        <f t="shared" si="8"/>
        <v>-2922.0694323287667</v>
      </c>
      <c r="E119" s="9">
        <f t="shared" si="9"/>
        <v>9799.315159605263</v>
      </c>
      <c r="F119" s="9">
        <f t="shared" si="10"/>
        <v>-0.56640015580000003</v>
      </c>
      <c r="G119" s="9">
        <f t="shared" si="11"/>
        <v>9318.7204151693459</v>
      </c>
      <c r="H119" s="10">
        <v>17</v>
      </c>
      <c r="I119" s="11">
        <f t="shared" si="12"/>
        <v>0.93187204151693459</v>
      </c>
      <c r="J119" s="3"/>
      <c r="K119" s="3"/>
      <c r="L119" s="3"/>
      <c r="M119" s="3"/>
      <c r="N119" s="6"/>
      <c r="O119" s="12">
        <v>3796.4504310000002</v>
      </c>
      <c r="P119" s="12">
        <v>-5332.7767139999996</v>
      </c>
      <c r="Q119" s="12">
        <v>16368.086859999999</v>
      </c>
      <c r="R119" s="12">
        <v>-0.56640015580000003</v>
      </c>
      <c r="S119" s="12">
        <v>14831.19418</v>
      </c>
      <c r="T119" s="3"/>
      <c r="U119" s="3"/>
      <c r="V119" s="9">
        <v>0.64</v>
      </c>
      <c r="W119" s="9">
        <v>1</v>
      </c>
      <c r="X119" s="3"/>
      <c r="Y119" s="3"/>
      <c r="Z119" s="3"/>
    </row>
    <row r="120" spans="1:26" x14ac:dyDescent="0.25">
      <c r="A120" s="3"/>
      <c r="B120" s="3"/>
      <c r="C120" s="9">
        <f t="shared" si="7"/>
        <v>2329.995192037838</v>
      </c>
      <c r="D120" s="9">
        <f t="shared" si="8"/>
        <v>-2749.8019627397257</v>
      </c>
      <c r="E120" s="9">
        <f t="shared" si="9"/>
        <v>10365.424213881579</v>
      </c>
      <c r="F120" s="9">
        <f t="shared" si="10"/>
        <v>1.1124477180000001</v>
      </c>
      <c r="G120" s="9">
        <f t="shared" si="11"/>
        <v>9946.7298908976918</v>
      </c>
      <c r="H120" s="10">
        <v>18</v>
      </c>
      <c r="I120" s="11">
        <f t="shared" si="12"/>
        <v>0.9946729890897692</v>
      </c>
      <c r="J120" s="3"/>
      <c r="K120" s="3"/>
      <c r="L120" s="3"/>
      <c r="M120" s="3"/>
      <c r="N120" s="6"/>
      <c r="O120" s="12">
        <v>3622.2614330000001</v>
      </c>
      <c r="P120" s="12">
        <v>-5018.3885819999996</v>
      </c>
      <c r="Q120" s="12">
        <v>17313.675609999998</v>
      </c>
      <c r="R120" s="12">
        <v>1.1124477180000001</v>
      </c>
      <c r="S120" s="12">
        <v>15918.660910000001</v>
      </c>
      <c r="T120" s="3"/>
      <c r="U120" s="3"/>
      <c r="V120" s="9">
        <v>0.64</v>
      </c>
      <c r="W120" s="9">
        <v>1</v>
      </c>
      <c r="X120" s="3"/>
      <c r="Y120" s="3"/>
      <c r="Z120" s="3"/>
    </row>
    <row r="121" spans="1:26" x14ac:dyDescent="0.25">
      <c r="A121" s="3"/>
      <c r="B121" s="3"/>
      <c r="C121" s="9">
        <f t="shared" si="7"/>
        <v>2223.3902204594592</v>
      </c>
      <c r="D121" s="9">
        <f t="shared" si="8"/>
        <v>-2588.6790991780822</v>
      </c>
      <c r="E121" s="9">
        <f t="shared" si="9"/>
        <v>10903.78678144737</v>
      </c>
      <c r="F121" s="9">
        <f t="shared" si="10"/>
        <v>-4.3730160269999999E-3</v>
      </c>
      <c r="G121" s="9">
        <f t="shared" si="11"/>
        <v>10538.493529712721</v>
      </c>
      <c r="H121" s="10">
        <v>19</v>
      </c>
      <c r="I121" s="11">
        <f t="shared" si="12"/>
        <v>1.053849352971272</v>
      </c>
      <c r="J121" s="3"/>
      <c r="K121" s="3"/>
      <c r="L121" s="3"/>
      <c r="M121" s="3"/>
      <c r="N121" s="6"/>
      <c r="O121" s="12">
        <v>3456.531015</v>
      </c>
      <c r="P121" s="12">
        <v>-4724.3393560000004</v>
      </c>
      <c r="Q121" s="12">
        <v>18212.918580000001</v>
      </c>
      <c r="R121" s="12">
        <v>-4.3730160269999999E-3</v>
      </c>
      <c r="S121" s="12">
        <v>16945.10586</v>
      </c>
      <c r="T121" s="3"/>
      <c r="U121" s="3"/>
      <c r="V121" s="9">
        <v>0.64</v>
      </c>
      <c r="W121" s="9">
        <v>1</v>
      </c>
      <c r="X121" s="3"/>
      <c r="Y121" s="3"/>
      <c r="Z121" s="3"/>
    </row>
    <row r="122" spans="1:26" x14ac:dyDescent="0.25">
      <c r="A122" s="3"/>
      <c r="B122" s="3"/>
      <c r="C122" s="9">
        <f t="shared" si="7"/>
        <v>2123.0873062000001</v>
      </c>
      <c r="D122" s="9">
        <f t="shared" si="8"/>
        <v>-2435.4563999999996</v>
      </c>
      <c r="E122" s="9">
        <f t="shared" si="9"/>
        <v>11403.20971263158</v>
      </c>
      <c r="F122" s="9">
        <f t="shared" si="10"/>
        <v>-5.1030111740000002E-2</v>
      </c>
      <c r="G122" s="9">
        <f t="shared" si="11"/>
        <v>11090.789588719841</v>
      </c>
      <c r="H122" s="10">
        <v>20</v>
      </c>
      <c r="I122" s="11">
        <f t="shared" si="12"/>
        <v>1.109078958871984</v>
      </c>
      <c r="J122" s="3"/>
      <c r="K122" s="3"/>
      <c r="L122" s="3"/>
      <c r="M122" s="3"/>
      <c r="N122" s="6"/>
      <c r="O122" s="12">
        <v>3300.5979130000001</v>
      </c>
      <c r="P122" s="12">
        <v>-4444.7079299999996</v>
      </c>
      <c r="Q122" s="12">
        <v>19047.11952</v>
      </c>
      <c r="R122" s="12">
        <v>-5.1030111740000002E-2</v>
      </c>
      <c r="S122" s="12">
        <v>17902.958470000001</v>
      </c>
      <c r="T122" s="3"/>
      <c r="U122" s="3"/>
      <c r="V122" s="9">
        <v>0.64</v>
      </c>
      <c r="W122" s="9">
        <v>1</v>
      </c>
      <c r="X122" s="3"/>
      <c r="Y122" s="3"/>
      <c r="Z122" s="3"/>
    </row>
    <row r="123" spans="1:26" x14ac:dyDescent="0.25">
      <c r="A123" s="3"/>
      <c r="B123" s="3"/>
      <c r="C123" s="9">
        <f t="shared" si="7"/>
        <v>2027.4216913621619</v>
      </c>
      <c r="D123" s="9">
        <f t="shared" si="8"/>
        <v>-2290.2517375342463</v>
      </c>
      <c r="E123" s="9">
        <f t="shared" si="9"/>
        <v>11852.864821644738</v>
      </c>
      <c r="F123" s="9">
        <f t="shared" si="10"/>
        <v>-6.5077736100000005E-2</v>
      </c>
      <c r="G123" s="9">
        <f t="shared" si="11"/>
        <v>11589.969697736553</v>
      </c>
      <c r="H123" s="10">
        <v>21</v>
      </c>
      <c r="I123" s="11">
        <f t="shared" si="12"/>
        <v>1.1589969697736553</v>
      </c>
      <c r="J123" s="3"/>
      <c r="K123" s="3"/>
      <c r="L123" s="3"/>
      <c r="M123" s="3"/>
      <c r="N123" s="6"/>
      <c r="O123" s="12">
        <v>3151.8740579999999</v>
      </c>
      <c r="P123" s="12">
        <v>-4179.7094209999996</v>
      </c>
      <c r="Q123" s="12">
        <v>19798.191790000001</v>
      </c>
      <c r="R123" s="12">
        <v>-6.5077736100000005E-2</v>
      </c>
      <c r="S123" s="12">
        <v>18770.29135</v>
      </c>
      <c r="T123" s="3"/>
      <c r="U123" s="3"/>
      <c r="V123" s="9">
        <v>0.64</v>
      </c>
      <c r="W123" s="9">
        <v>1</v>
      </c>
      <c r="X123" s="3"/>
      <c r="Y123" s="3"/>
      <c r="Z123" s="3"/>
    </row>
    <row r="124" spans="1:26" x14ac:dyDescent="0.25">
      <c r="A124" s="3"/>
      <c r="B124" s="3"/>
      <c r="C124" s="9">
        <f t="shared" si="7"/>
        <v>1935.573363027027</v>
      </c>
      <c r="D124" s="9">
        <f t="shared" si="8"/>
        <v>-2152.5901189041097</v>
      </c>
      <c r="E124" s="9">
        <f t="shared" si="9"/>
        <v>12243.349976513158</v>
      </c>
      <c r="F124" s="9">
        <f t="shared" si="10"/>
        <v>-0.1568050255</v>
      </c>
      <c r="G124" s="9">
        <f t="shared" si="11"/>
        <v>12026.176415610576</v>
      </c>
      <c r="H124" s="10">
        <v>22</v>
      </c>
      <c r="I124" s="11">
        <f t="shared" si="12"/>
        <v>1.2026176415610577</v>
      </c>
      <c r="J124" s="3"/>
      <c r="K124" s="3"/>
      <c r="L124" s="3"/>
      <c r="M124" s="3"/>
      <c r="N124" s="6"/>
      <c r="O124" s="12">
        <v>3009.08464</v>
      </c>
      <c r="P124" s="12">
        <v>-3928.4769670000001</v>
      </c>
      <c r="Q124" s="12">
        <v>20450.43073</v>
      </c>
      <c r="R124" s="12">
        <v>-0.1568050255</v>
      </c>
      <c r="S124" s="12">
        <v>19530.881600000001</v>
      </c>
      <c r="T124" s="3"/>
      <c r="U124" s="3"/>
      <c r="V124" s="9">
        <v>0.64</v>
      </c>
      <c r="W124" s="9">
        <v>1</v>
      </c>
      <c r="X124" s="3"/>
      <c r="Y124" s="3"/>
      <c r="Z124" s="3"/>
    </row>
    <row r="125" spans="1:26" x14ac:dyDescent="0.25">
      <c r="A125" s="3"/>
      <c r="B125" s="3"/>
      <c r="C125" s="9">
        <f t="shared" si="7"/>
        <v>1847.4006803189188</v>
      </c>
      <c r="D125" s="9">
        <f t="shared" si="8"/>
        <v>-2021.5626684931506</v>
      </c>
      <c r="E125" s="9">
        <f t="shared" si="9"/>
        <v>12566.288351842106</v>
      </c>
      <c r="F125" s="9">
        <f t="shared" si="10"/>
        <v>0.14320967949999999</v>
      </c>
      <c r="G125" s="9">
        <f t="shared" si="11"/>
        <v>12392.269573347374</v>
      </c>
      <c r="H125" s="10">
        <v>23</v>
      </c>
      <c r="I125" s="11">
        <f t="shared" si="12"/>
        <v>1.2392269573347374</v>
      </c>
      <c r="J125" s="3"/>
      <c r="K125" s="3"/>
      <c r="L125" s="3"/>
      <c r="M125" s="3"/>
      <c r="N125" s="6"/>
      <c r="O125" s="12">
        <v>2872.0094610000001</v>
      </c>
      <c r="P125" s="12">
        <v>-3689.35187</v>
      </c>
      <c r="Q125" s="12">
        <v>20989.844280000001</v>
      </c>
      <c r="R125" s="12">
        <v>0.14320967949999999</v>
      </c>
      <c r="S125" s="12">
        <v>20172.645079999998</v>
      </c>
      <c r="T125" s="3"/>
      <c r="U125" s="3"/>
      <c r="V125" s="9">
        <v>0.64</v>
      </c>
      <c r="W125" s="9">
        <v>1</v>
      </c>
      <c r="X125" s="3"/>
      <c r="Y125" s="3"/>
      <c r="Z125" s="3"/>
    </row>
    <row r="126" spans="1:26" x14ac:dyDescent="0.25">
      <c r="A126" s="3"/>
      <c r="B126" s="3"/>
      <c r="C126" s="9">
        <f t="shared" si="7"/>
        <v>1762.4525039459459</v>
      </c>
      <c r="D126" s="9">
        <f t="shared" si="8"/>
        <v>-1897.6903517808219</v>
      </c>
      <c r="E126" s="9">
        <f t="shared" si="9"/>
        <v>12816.960531973684</v>
      </c>
      <c r="F126" s="9">
        <f t="shared" si="10"/>
        <v>0.2497462322</v>
      </c>
      <c r="G126" s="9">
        <f t="shared" si="11"/>
        <v>12681.972430371008</v>
      </c>
      <c r="H126" s="10">
        <v>24</v>
      </c>
      <c r="I126" s="11">
        <f t="shared" si="12"/>
        <v>1.2681972430371009</v>
      </c>
      <c r="J126" s="3"/>
      <c r="K126" s="3"/>
      <c r="L126" s="3"/>
      <c r="M126" s="3"/>
      <c r="N126" s="6"/>
      <c r="O126" s="12">
        <v>2739.9471699999999</v>
      </c>
      <c r="P126" s="12">
        <v>-3463.2848920000001</v>
      </c>
      <c r="Q126" s="12">
        <v>21408.549459999998</v>
      </c>
      <c r="R126" s="12">
        <v>0.2497462322</v>
      </c>
      <c r="S126" s="12">
        <v>20685.461480000002</v>
      </c>
      <c r="T126" s="3"/>
      <c r="U126" s="3"/>
      <c r="V126" s="9">
        <v>0.64</v>
      </c>
      <c r="W126" s="9">
        <v>1</v>
      </c>
      <c r="X126" s="3"/>
      <c r="Y126" s="3"/>
      <c r="Z126" s="3"/>
    </row>
    <row r="127" spans="1:26" x14ac:dyDescent="0.25">
      <c r="A127" s="3"/>
      <c r="B127" s="3"/>
      <c r="C127" s="9">
        <f t="shared" si="7"/>
        <v>1680.884528362162</v>
      </c>
      <c r="D127" s="9">
        <f t="shared" si="8"/>
        <v>-1780.8774920547944</v>
      </c>
      <c r="E127" s="9">
        <f t="shared" si="9"/>
        <v>12991.124198684212</v>
      </c>
      <c r="F127" s="9">
        <f t="shared" si="10"/>
        <v>0.1674482202</v>
      </c>
      <c r="G127" s="9">
        <f t="shared" si="11"/>
        <v>12891.29868321178</v>
      </c>
      <c r="H127" s="10">
        <v>25</v>
      </c>
      <c r="I127" s="11">
        <f t="shared" si="12"/>
        <v>1.289129868321178</v>
      </c>
      <c r="J127" s="3"/>
      <c r="K127" s="3"/>
      <c r="L127" s="3"/>
      <c r="M127" s="3"/>
      <c r="N127" s="6"/>
      <c r="O127" s="12">
        <v>2613.1398129999998</v>
      </c>
      <c r="P127" s="12">
        <v>-3250.1014230000001</v>
      </c>
      <c r="Q127" s="12">
        <v>21699.460200000001</v>
      </c>
      <c r="R127" s="12">
        <v>0.1674482202</v>
      </c>
      <c r="S127" s="12">
        <v>21062.66604</v>
      </c>
      <c r="T127" s="3"/>
      <c r="U127" s="3"/>
      <c r="V127" s="9">
        <v>0.64</v>
      </c>
      <c r="W127" s="9">
        <v>1</v>
      </c>
      <c r="X127" s="3"/>
      <c r="Y127" s="3"/>
      <c r="Z127" s="3"/>
    </row>
    <row r="128" spans="1:26" x14ac:dyDescent="0.25">
      <c r="A128" s="3"/>
      <c r="B128" s="3"/>
      <c r="C128" s="9">
        <f t="shared" si="7"/>
        <v>1602.7044358216217</v>
      </c>
      <c r="D128" s="9">
        <f t="shared" si="8"/>
        <v>-1671.0521369863013</v>
      </c>
      <c r="E128" s="9">
        <f t="shared" si="9"/>
        <v>13087.763049605262</v>
      </c>
      <c r="F128" s="9">
        <f t="shared" si="10"/>
        <v>0.1448300981</v>
      </c>
      <c r="G128" s="9">
        <f t="shared" si="11"/>
        <v>13019.560178538683</v>
      </c>
      <c r="H128" s="10">
        <v>26</v>
      </c>
      <c r="I128" s="11">
        <f t="shared" si="12"/>
        <v>1.3019560178538683</v>
      </c>
      <c r="J128" s="3"/>
      <c r="K128" s="3"/>
      <c r="L128" s="3"/>
      <c r="M128" s="3"/>
      <c r="N128" s="6"/>
      <c r="O128" s="12">
        <v>2491.5993330000001</v>
      </c>
      <c r="P128" s="12">
        <v>-3049.6701499999999</v>
      </c>
      <c r="Q128" s="12">
        <v>21860.878939999999</v>
      </c>
      <c r="R128" s="12">
        <v>0.1448300981</v>
      </c>
      <c r="S128" s="12">
        <v>21302.952949999999</v>
      </c>
      <c r="T128" s="3"/>
      <c r="U128" s="3"/>
      <c r="V128" s="9">
        <v>0.64</v>
      </c>
      <c r="W128" s="9">
        <v>1</v>
      </c>
      <c r="X128" s="3"/>
      <c r="Y128" s="3"/>
      <c r="Z128" s="3"/>
    </row>
    <row r="129" spans="1:26" x14ac:dyDescent="0.25">
      <c r="A129" s="3"/>
      <c r="B129" s="3"/>
      <c r="C129" s="9">
        <f t="shared" si="7"/>
        <v>1528.1587300000001</v>
      </c>
      <c r="D129" s="9">
        <f t="shared" si="8"/>
        <v>-1568.050840547945</v>
      </c>
      <c r="E129" s="9">
        <f t="shared" si="9"/>
        <v>13105.64164</v>
      </c>
      <c r="F129" s="9">
        <f t="shared" si="10"/>
        <v>0.1326978107</v>
      </c>
      <c r="G129" s="9">
        <f t="shared" si="11"/>
        <v>13065.882227262757</v>
      </c>
      <c r="H129" s="10">
        <v>27</v>
      </c>
      <c r="I129" s="11">
        <f t="shared" si="12"/>
        <v>1.3065882227262757</v>
      </c>
      <c r="J129" s="3"/>
      <c r="K129" s="3"/>
      <c r="L129" s="3"/>
      <c r="M129" s="3"/>
      <c r="N129" s="6"/>
      <c r="O129" s="12">
        <v>2375.7089500000002</v>
      </c>
      <c r="P129" s="12">
        <v>-2861.6927839999998</v>
      </c>
      <c r="Q129" s="12">
        <v>21890.74208</v>
      </c>
      <c r="R129" s="12">
        <v>0.1326978107</v>
      </c>
      <c r="S129" s="12">
        <v>21404.890940000001</v>
      </c>
      <c r="T129" s="3"/>
      <c r="U129" s="3"/>
      <c r="V129" s="9">
        <v>0.64</v>
      </c>
      <c r="W129" s="9">
        <v>1</v>
      </c>
      <c r="X129" s="3"/>
      <c r="Y129" s="3"/>
      <c r="Z129" s="3"/>
    </row>
    <row r="130" spans="1:26" x14ac:dyDescent="0.25">
      <c r="A130" s="3"/>
      <c r="B130" s="3"/>
      <c r="C130" s="9">
        <f t="shared" si="7"/>
        <v>1457.2056418972973</v>
      </c>
      <c r="D130" s="9">
        <f t="shared" si="8"/>
        <v>-1471.8288668493149</v>
      </c>
      <c r="E130" s="9">
        <f t="shared" si="9"/>
        <v>13046.608173881579</v>
      </c>
      <c r="F130" s="9">
        <f t="shared" si="10"/>
        <v>0.12656122240000001</v>
      </c>
      <c r="G130" s="9">
        <f t="shared" si="11"/>
        <v>13032.111510151961</v>
      </c>
      <c r="H130" s="10">
        <v>28</v>
      </c>
      <c r="I130" s="11">
        <f t="shared" si="12"/>
        <v>1.303211151015196</v>
      </c>
      <c r="J130" s="3"/>
      <c r="K130" s="3"/>
      <c r="L130" s="3"/>
      <c r="M130" s="3"/>
      <c r="N130" s="6"/>
      <c r="O130" s="12">
        <v>2265.4037290000001</v>
      </c>
      <c r="P130" s="12">
        <v>-2686.0876819999999</v>
      </c>
      <c r="Q130" s="12">
        <v>21792.136729999998</v>
      </c>
      <c r="R130" s="12">
        <v>0.12656122240000001</v>
      </c>
      <c r="S130" s="12">
        <v>21371.57934</v>
      </c>
      <c r="T130" s="3"/>
      <c r="U130" s="3"/>
      <c r="V130" s="9">
        <v>0.64</v>
      </c>
      <c r="W130" s="9">
        <v>1</v>
      </c>
      <c r="X130" s="3"/>
      <c r="Y130" s="3"/>
      <c r="Z130" s="3"/>
    </row>
    <row r="131" spans="1:26" x14ac:dyDescent="0.25">
      <c r="A131" s="3"/>
      <c r="B131" s="3"/>
      <c r="C131" s="9">
        <f t="shared" ref="C131:C194" si="13">($B$3/185)*O131</f>
        <v>1390.106536681081</v>
      </c>
      <c r="D131" s="9">
        <f t="shared" ref="D131:D194" si="14">($B$4/(-146))*P131</f>
        <v>-1382.2813342465752</v>
      </c>
      <c r="E131" s="9">
        <f t="shared" ref="E131:E194" si="15">($B$5/152)*Q131</f>
        <v>12913.239777236842</v>
      </c>
      <c r="F131" s="9">
        <f t="shared" ref="F131:F194" si="16">R131</f>
        <v>0.11644426619999999</v>
      </c>
      <c r="G131" s="9">
        <f t="shared" ref="G131:G194" si="17">SUM(C131:F131)</f>
        <v>12921.181423937547</v>
      </c>
      <c r="H131" s="10">
        <v>29</v>
      </c>
      <c r="I131" s="11">
        <f t="shared" ref="I131:I194" si="18">G131/10000</f>
        <v>1.2921181423937547</v>
      </c>
      <c r="J131" s="3"/>
      <c r="K131" s="3"/>
      <c r="L131" s="3"/>
      <c r="M131" s="3"/>
      <c r="N131" s="6"/>
      <c r="O131" s="12">
        <v>2161.0899939999999</v>
      </c>
      <c r="P131" s="12">
        <v>-2522.6634349999999</v>
      </c>
      <c r="Q131" s="12">
        <v>21569.367539999999</v>
      </c>
      <c r="R131" s="12">
        <v>0.11644426619999999</v>
      </c>
      <c r="S131" s="12">
        <v>21207.910540000001</v>
      </c>
      <c r="T131" s="3"/>
      <c r="U131" s="3"/>
      <c r="V131" s="9">
        <v>0.64</v>
      </c>
      <c r="W131" s="9">
        <v>1</v>
      </c>
      <c r="X131" s="3"/>
      <c r="Y131" s="3"/>
      <c r="Z131" s="3"/>
    </row>
    <row r="132" spans="1:26" x14ac:dyDescent="0.25">
      <c r="A132" s="3"/>
      <c r="B132" s="3"/>
      <c r="C132" s="9">
        <f t="shared" si="13"/>
        <v>1326.4047843351352</v>
      </c>
      <c r="D132" s="9">
        <f t="shared" si="14"/>
        <v>-1298.9675895890409</v>
      </c>
      <c r="E132" s="9">
        <f t="shared" si="15"/>
        <v>12710.95970881579</v>
      </c>
      <c r="F132" s="9">
        <f t="shared" si="16"/>
        <v>0.12517645729999999</v>
      </c>
      <c r="G132" s="9">
        <f t="shared" si="17"/>
        <v>12738.522080019186</v>
      </c>
      <c r="H132" s="10">
        <v>30</v>
      </c>
      <c r="I132" s="11">
        <f t="shared" si="18"/>
        <v>1.2738522080019186</v>
      </c>
      <c r="J132" s="3"/>
      <c r="K132" s="3"/>
      <c r="L132" s="3"/>
      <c r="M132" s="3"/>
      <c r="N132" s="6"/>
      <c r="O132" s="12">
        <v>2062.0578580000001</v>
      </c>
      <c r="P132" s="12">
        <v>-2370.615851</v>
      </c>
      <c r="Q132" s="12">
        <v>21231.493139999999</v>
      </c>
      <c r="R132" s="12">
        <v>0.12517645729999999</v>
      </c>
      <c r="S132" s="12">
        <v>20923.06033</v>
      </c>
      <c r="T132" s="3"/>
      <c r="U132" s="3"/>
      <c r="V132" s="9">
        <v>0.64</v>
      </c>
      <c r="W132" s="9">
        <v>1</v>
      </c>
      <c r="X132" s="3"/>
      <c r="Y132" s="3"/>
      <c r="Z132" s="3"/>
    </row>
    <row r="133" spans="1:26" x14ac:dyDescent="0.25">
      <c r="A133" s="3"/>
      <c r="B133" s="3"/>
      <c r="C133" s="9">
        <f t="shared" si="13"/>
        <v>1266.5254882378379</v>
      </c>
      <c r="D133" s="9">
        <f t="shared" si="14"/>
        <v>-1221.8755961643835</v>
      </c>
      <c r="E133" s="9">
        <f t="shared" si="15"/>
        <v>12444.889197171053</v>
      </c>
      <c r="F133" s="9">
        <f t="shared" si="16"/>
        <v>9.5573855619999995E-2</v>
      </c>
      <c r="G133" s="9">
        <f t="shared" si="17"/>
        <v>12489.634663100127</v>
      </c>
      <c r="H133" s="10">
        <v>31</v>
      </c>
      <c r="I133" s="11">
        <f t="shared" si="18"/>
        <v>1.2489634663100126</v>
      </c>
      <c r="J133" s="3"/>
      <c r="K133" s="3"/>
      <c r="L133" s="3"/>
      <c r="M133" s="3"/>
      <c r="N133" s="6"/>
      <c r="O133" s="12">
        <v>1968.968196</v>
      </c>
      <c r="P133" s="12">
        <v>-2229.922963</v>
      </c>
      <c r="Q133" s="12">
        <v>20787.06767</v>
      </c>
      <c r="R133" s="12">
        <v>9.5573855619999995E-2</v>
      </c>
      <c r="S133" s="12">
        <v>20526.208480000001</v>
      </c>
      <c r="T133" s="3"/>
      <c r="U133" s="3"/>
      <c r="V133" s="9">
        <v>0.64</v>
      </c>
      <c r="W133" s="9">
        <v>1</v>
      </c>
      <c r="X133" s="3"/>
      <c r="Y133" s="3"/>
      <c r="Z133" s="3"/>
    </row>
    <row r="134" spans="1:26" x14ac:dyDescent="0.25">
      <c r="A134" s="3"/>
      <c r="B134" s="3"/>
      <c r="C134" s="9">
        <f t="shared" si="13"/>
        <v>1210.0149708594595</v>
      </c>
      <c r="D134" s="9">
        <f t="shared" si="14"/>
        <v>-1150.4577309589042</v>
      </c>
      <c r="E134" s="9">
        <f t="shared" si="15"/>
        <v>12123.176561907894</v>
      </c>
      <c r="F134" s="9">
        <f t="shared" si="16"/>
        <v>9.3840793970000003E-2</v>
      </c>
      <c r="G134" s="9">
        <f t="shared" si="17"/>
        <v>12182.82764260242</v>
      </c>
      <c r="H134" s="10">
        <v>32</v>
      </c>
      <c r="I134" s="11">
        <f t="shared" si="18"/>
        <v>1.2182827642602421</v>
      </c>
      <c r="J134" s="3"/>
      <c r="K134" s="3"/>
      <c r="L134" s="3"/>
      <c r="M134" s="3"/>
      <c r="N134" s="6"/>
      <c r="O134" s="12">
        <v>1881.1157109999999</v>
      </c>
      <c r="P134" s="12">
        <v>-2099.5853590000002</v>
      </c>
      <c r="Q134" s="12">
        <v>20249.701509999999</v>
      </c>
      <c r="R134" s="12">
        <v>9.3840793970000003E-2</v>
      </c>
      <c r="S134" s="12">
        <v>20031.325710000001</v>
      </c>
      <c r="T134" s="3"/>
      <c r="U134" s="3"/>
      <c r="V134" s="9">
        <v>0.64</v>
      </c>
      <c r="W134" s="9">
        <v>1</v>
      </c>
      <c r="X134" s="3"/>
      <c r="Y134" s="3"/>
      <c r="Z134" s="3"/>
    </row>
    <row r="135" spans="1:26" x14ac:dyDescent="0.25">
      <c r="A135" s="3"/>
      <c r="B135" s="3"/>
      <c r="C135" s="9">
        <f t="shared" si="13"/>
        <v>1156.8358012324325</v>
      </c>
      <c r="D135" s="9">
        <f t="shared" si="14"/>
        <v>-1084.4526021917809</v>
      </c>
      <c r="E135" s="9">
        <f t="shared" si="15"/>
        <v>11753.786536118423</v>
      </c>
      <c r="F135" s="9">
        <f t="shared" si="16"/>
        <v>8.2007076469999995E-2</v>
      </c>
      <c r="G135" s="9">
        <f t="shared" si="17"/>
        <v>11826.251742235543</v>
      </c>
      <c r="H135" s="10">
        <v>33</v>
      </c>
      <c r="I135" s="11">
        <f t="shared" si="18"/>
        <v>1.1826251742235543</v>
      </c>
      <c r="J135" s="3"/>
      <c r="K135" s="3"/>
      <c r="L135" s="3"/>
      <c r="M135" s="3"/>
      <c r="N135" s="6"/>
      <c r="O135" s="12">
        <v>1798.4422119999999</v>
      </c>
      <c r="P135" s="12">
        <v>-1979.1259990000001</v>
      </c>
      <c r="Q135" s="12">
        <v>19632.698390000001</v>
      </c>
      <c r="R135" s="12">
        <v>8.2007076469999995E-2</v>
      </c>
      <c r="S135" s="12">
        <v>19452.096610000001</v>
      </c>
      <c r="T135" s="3"/>
      <c r="U135" s="3"/>
      <c r="V135" s="9">
        <v>0.64</v>
      </c>
      <c r="W135" s="9">
        <v>1</v>
      </c>
      <c r="X135" s="3"/>
      <c r="Y135" s="3"/>
      <c r="Z135" s="3"/>
    </row>
    <row r="136" spans="1:26" x14ac:dyDescent="0.25">
      <c r="A136" s="3"/>
      <c r="B136" s="3"/>
      <c r="C136" s="9">
        <f t="shared" si="13"/>
        <v>1107.1244916540541</v>
      </c>
      <c r="D136" s="9">
        <f t="shared" si="14"/>
        <v>-1023.6426410958903</v>
      </c>
      <c r="E136" s="9">
        <f t="shared" si="15"/>
        <v>11344.865852894738</v>
      </c>
      <c r="F136" s="9">
        <f t="shared" si="16"/>
        <v>7.6757617969999997E-2</v>
      </c>
      <c r="G136" s="9">
        <f t="shared" si="17"/>
        <v>11428.424461070872</v>
      </c>
      <c r="H136" s="10">
        <v>34</v>
      </c>
      <c r="I136" s="11">
        <f t="shared" si="18"/>
        <v>1.1428424461070872</v>
      </c>
      <c r="J136" s="3"/>
      <c r="K136" s="3"/>
      <c r="L136" s="3"/>
      <c r="M136" s="3"/>
      <c r="N136" s="6"/>
      <c r="O136" s="12">
        <v>1721.159924</v>
      </c>
      <c r="P136" s="12">
        <v>-1868.1478199999999</v>
      </c>
      <c r="Q136" s="12">
        <v>18949.66604</v>
      </c>
      <c r="R136" s="12">
        <v>7.6757617969999997E-2</v>
      </c>
      <c r="S136" s="12">
        <v>18802.7549</v>
      </c>
      <c r="T136" s="3"/>
      <c r="U136" s="3"/>
      <c r="V136" s="9">
        <v>0.64</v>
      </c>
      <c r="W136" s="9">
        <v>1</v>
      </c>
      <c r="X136" s="3"/>
      <c r="Y136" s="3"/>
      <c r="Z136" s="3"/>
    </row>
    <row r="137" spans="1:26" x14ac:dyDescent="0.25">
      <c r="A137" s="3"/>
      <c r="B137" s="3"/>
      <c r="C137" s="9">
        <f t="shared" si="13"/>
        <v>1060.2435147405404</v>
      </c>
      <c r="D137" s="9">
        <f t="shared" si="14"/>
        <v>-967.42326739726025</v>
      </c>
      <c r="E137" s="9">
        <f t="shared" si="15"/>
        <v>10906.784734539473</v>
      </c>
      <c r="F137" s="9">
        <f t="shared" si="16"/>
        <v>7.2369417640000003E-2</v>
      </c>
      <c r="G137" s="9">
        <f t="shared" si="17"/>
        <v>10999.677351300392</v>
      </c>
      <c r="H137" s="10">
        <v>35</v>
      </c>
      <c r="I137" s="11">
        <f t="shared" si="18"/>
        <v>1.0999677351300392</v>
      </c>
      <c r="J137" s="3"/>
      <c r="K137" s="3"/>
      <c r="L137" s="3"/>
      <c r="M137" s="3"/>
      <c r="N137" s="6"/>
      <c r="O137" s="12">
        <v>1648.2777329999999</v>
      </c>
      <c r="P137" s="12">
        <v>-1765.5474630000001</v>
      </c>
      <c r="Q137" s="12">
        <v>18217.926149999999</v>
      </c>
      <c r="R137" s="12">
        <v>7.2369417640000003E-2</v>
      </c>
      <c r="S137" s="12">
        <v>18100.728790000001</v>
      </c>
      <c r="T137" s="3"/>
      <c r="U137" s="3"/>
      <c r="V137" s="9">
        <v>0.64</v>
      </c>
      <c r="W137" s="9">
        <v>1</v>
      </c>
      <c r="X137" s="3"/>
      <c r="Y137" s="3"/>
      <c r="Z137" s="3"/>
    </row>
    <row r="138" spans="1:26" x14ac:dyDescent="0.25">
      <c r="A138" s="3"/>
      <c r="B138" s="3"/>
      <c r="C138" s="9">
        <f t="shared" si="13"/>
        <v>1016.1009876972973</v>
      </c>
      <c r="D138" s="9">
        <f t="shared" si="14"/>
        <v>-915.49351068493138</v>
      </c>
      <c r="E138" s="9">
        <f t="shared" si="15"/>
        <v>10448.183409539473</v>
      </c>
      <c r="F138" s="9">
        <f t="shared" si="16"/>
        <v>6.0332047049999997E-2</v>
      </c>
      <c r="G138" s="9">
        <f t="shared" si="17"/>
        <v>10548.851218598891</v>
      </c>
      <c r="H138" s="10">
        <v>36</v>
      </c>
      <c r="I138" s="11">
        <f t="shared" si="18"/>
        <v>1.0548851218598891</v>
      </c>
      <c r="J138" s="3"/>
      <c r="K138" s="3"/>
      <c r="L138" s="3"/>
      <c r="M138" s="3"/>
      <c r="N138" s="6"/>
      <c r="O138" s="12">
        <v>1579.6527960000001</v>
      </c>
      <c r="P138" s="12">
        <v>-1670.7756569999999</v>
      </c>
      <c r="Q138" s="12">
        <v>17451.910749999999</v>
      </c>
      <c r="R138" s="12">
        <v>6.0332047049999997E-2</v>
      </c>
      <c r="S138" s="12">
        <v>17360.84822</v>
      </c>
      <c r="T138" s="3"/>
      <c r="U138" s="3"/>
      <c r="V138" s="9">
        <v>0.64</v>
      </c>
      <c r="W138" s="9">
        <v>1</v>
      </c>
      <c r="X138" s="3"/>
      <c r="Y138" s="3"/>
      <c r="Z138" s="3"/>
    </row>
    <row r="139" spans="1:26" x14ac:dyDescent="0.25">
      <c r="A139" s="3"/>
      <c r="B139" s="3"/>
      <c r="C139" s="9">
        <f t="shared" si="13"/>
        <v>974.74491834054049</v>
      </c>
      <c r="D139" s="9">
        <f t="shared" si="14"/>
        <v>-867.61688547945209</v>
      </c>
      <c r="E139" s="9">
        <f t="shared" si="15"/>
        <v>9976.8554052631571</v>
      </c>
      <c r="F139" s="9">
        <f t="shared" si="16"/>
        <v>5.6453928469999998E-2</v>
      </c>
      <c r="G139" s="9">
        <f t="shared" si="17"/>
        <v>10084.039892052715</v>
      </c>
      <c r="H139" s="10">
        <v>37</v>
      </c>
      <c r="I139" s="11">
        <f t="shared" si="18"/>
        <v>1.0084039892052714</v>
      </c>
      <c r="J139" s="3"/>
      <c r="K139" s="3"/>
      <c r="L139" s="3"/>
      <c r="M139" s="3"/>
      <c r="N139" s="6"/>
      <c r="O139" s="12">
        <v>1515.359747</v>
      </c>
      <c r="P139" s="12">
        <v>-1583.4008160000001</v>
      </c>
      <c r="Q139" s="12">
        <v>16664.637599999998</v>
      </c>
      <c r="R139" s="12">
        <v>5.6453928469999998E-2</v>
      </c>
      <c r="S139" s="12">
        <v>16596.652989999999</v>
      </c>
      <c r="T139" s="3"/>
      <c r="U139" s="3"/>
      <c r="V139" s="9">
        <v>0.64</v>
      </c>
      <c r="W139" s="9">
        <v>1</v>
      </c>
      <c r="X139" s="3"/>
      <c r="Y139" s="3"/>
      <c r="Z139" s="3"/>
    </row>
    <row r="140" spans="1:26" x14ac:dyDescent="0.25">
      <c r="A140" s="3"/>
      <c r="B140" s="3"/>
      <c r="C140" s="9">
        <f t="shared" si="13"/>
        <v>935.78897606486487</v>
      </c>
      <c r="D140" s="9">
        <f t="shared" si="14"/>
        <v>-823.35390520547946</v>
      </c>
      <c r="E140" s="9">
        <f t="shared" si="15"/>
        <v>9500.9442219078956</v>
      </c>
      <c r="F140" s="9">
        <f t="shared" si="16"/>
        <v>5.3222540499999998E-2</v>
      </c>
      <c r="G140" s="9">
        <f t="shared" si="17"/>
        <v>9613.4325153077807</v>
      </c>
      <c r="H140" s="10">
        <v>38</v>
      </c>
      <c r="I140" s="11">
        <f t="shared" si="18"/>
        <v>0.96134325153077804</v>
      </c>
      <c r="J140" s="3"/>
      <c r="K140" s="3"/>
      <c r="L140" s="3"/>
      <c r="M140" s="3"/>
      <c r="N140" s="6"/>
      <c r="O140" s="12">
        <v>1454.797988</v>
      </c>
      <c r="P140" s="12">
        <v>-1502.6208770000001</v>
      </c>
      <c r="Q140" s="12">
        <v>15869.70903</v>
      </c>
      <c r="R140" s="12">
        <v>5.3222540499999998E-2</v>
      </c>
      <c r="S140" s="12">
        <v>15821.93936</v>
      </c>
      <c r="T140" s="3"/>
      <c r="U140" s="3"/>
      <c r="V140" s="9">
        <v>0.64</v>
      </c>
      <c r="W140" s="9">
        <v>1</v>
      </c>
      <c r="X140" s="3"/>
      <c r="Y140" s="3"/>
      <c r="Z140" s="3"/>
    </row>
    <row r="141" spans="1:26" x14ac:dyDescent="0.25">
      <c r="A141" s="3"/>
      <c r="B141" s="3"/>
      <c r="C141" s="9">
        <f t="shared" si="13"/>
        <v>899.07527295675663</v>
      </c>
      <c r="D141" s="9">
        <f t="shared" si="14"/>
        <v>-782.39684821917808</v>
      </c>
      <c r="E141" s="9">
        <f t="shared" si="15"/>
        <v>9026.7470115789474</v>
      </c>
      <c r="F141" s="9">
        <f t="shared" si="16"/>
        <v>4.8459905570000003E-2</v>
      </c>
      <c r="G141" s="9">
        <f t="shared" si="17"/>
        <v>9143.4738962220963</v>
      </c>
      <c r="H141" s="10">
        <v>39</v>
      </c>
      <c r="I141" s="11">
        <f t="shared" si="18"/>
        <v>0.91434738962220963</v>
      </c>
      <c r="J141" s="3"/>
      <c r="K141" s="3"/>
      <c r="L141" s="3"/>
      <c r="M141" s="3"/>
      <c r="N141" s="6"/>
      <c r="O141" s="12">
        <v>1397.7220629999999</v>
      </c>
      <c r="P141" s="12">
        <v>-1427.8742480000001</v>
      </c>
      <c r="Q141" s="12">
        <v>15077.64336</v>
      </c>
      <c r="R141" s="12">
        <v>4.8459905570000003E-2</v>
      </c>
      <c r="S141" s="12">
        <v>15047.539629999999</v>
      </c>
      <c r="T141" s="3"/>
      <c r="U141" s="3"/>
      <c r="V141" s="9">
        <v>0.64</v>
      </c>
      <c r="W141" s="9">
        <v>1</v>
      </c>
      <c r="X141" s="3"/>
      <c r="Y141" s="3"/>
      <c r="Z141" s="3"/>
    </row>
    <row r="142" spans="1:26" x14ac:dyDescent="0.25">
      <c r="A142" s="3"/>
      <c r="B142" s="3"/>
      <c r="C142" s="9">
        <f t="shared" si="13"/>
        <v>864.26905944324312</v>
      </c>
      <c r="D142" s="9">
        <f t="shared" si="14"/>
        <v>-744.34600602739715</v>
      </c>
      <c r="E142" s="9">
        <f t="shared" si="15"/>
        <v>8559.9912723684211</v>
      </c>
      <c r="F142" s="9">
        <f t="shared" si="16"/>
        <v>4.3549668800000003E-2</v>
      </c>
      <c r="G142" s="9">
        <f t="shared" si="17"/>
        <v>8679.9578754530667</v>
      </c>
      <c r="H142" s="10">
        <v>40</v>
      </c>
      <c r="I142" s="11">
        <f t="shared" si="18"/>
        <v>0.86799578754530671</v>
      </c>
      <c r="J142" s="3"/>
      <c r="K142" s="3"/>
      <c r="L142" s="3"/>
      <c r="M142" s="3"/>
      <c r="N142" s="6"/>
      <c r="O142" s="12">
        <v>1343.6115629999999</v>
      </c>
      <c r="P142" s="12">
        <v>-1358.4314609999999</v>
      </c>
      <c r="Q142" s="12">
        <v>14298.0074</v>
      </c>
      <c r="R142" s="12">
        <v>4.3549668800000003E-2</v>
      </c>
      <c r="S142" s="12">
        <v>14283.23105</v>
      </c>
      <c r="T142" s="3"/>
      <c r="U142" s="3"/>
      <c r="V142" s="9">
        <v>0.64</v>
      </c>
      <c r="W142" s="9">
        <v>1</v>
      </c>
      <c r="X142" s="3"/>
      <c r="Y142" s="3"/>
      <c r="Z142" s="3"/>
    </row>
    <row r="143" spans="1:26" x14ac:dyDescent="0.25">
      <c r="A143" s="3"/>
      <c r="B143" s="3"/>
      <c r="C143" s="9">
        <f t="shared" si="13"/>
        <v>831.24328726486488</v>
      </c>
      <c r="D143" s="9">
        <f t="shared" si="14"/>
        <v>-708.92481205479453</v>
      </c>
      <c r="E143" s="9">
        <f t="shared" si="15"/>
        <v>8104.1899395394739</v>
      </c>
      <c r="F143" s="9">
        <f t="shared" si="16"/>
        <v>4.381847069E-2</v>
      </c>
      <c r="G143" s="9">
        <f t="shared" si="17"/>
        <v>8226.5522332202345</v>
      </c>
      <c r="H143" s="10">
        <v>41</v>
      </c>
      <c r="I143" s="11">
        <f t="shared" si="18"/>
        <v>0.82265522332202345</v>
      </c>
      <c r="J143" s="3"/>
      <c r="K143" s="3"/>
      <c r="L143" s="3"/>
      <c r="M143" s="3"/>
      <c r="N143" s="6"/>
      <c r="O143" s="12">
        <v>1292.2689760000001</v>
      </c>
      <c r="P143" s="12">
        <v>-1293.7877820000001</v>
      </c>
      <c r="Q143" s="12">
        <v>13536.66891</v>
      </c>
      <c r="R143" s="12">
        <v>4.381847069E-2</v>
      </c>
      <c r="S143" s="12">
        <v>13535.19392</v>
      </c>
      <c r="T143" s="3"/>
      <c r="U143" s="3"/>
      <c r="V143" s="9">
        <v>0.64</v>
      </c>
      <c r="W143" s="9">
        <v>1</v>
      </c>
      <c r="X143" s="3"/>
      <c r="Y143" s="3"/>
      <c r="Z143" s="3"/>
    </row>
    <row r="144" spans="1:26" x14ac:dyDescent="0.25">
      <c r="A144" s="3"/>
      <c r="B144" s="3"/>
      <c r="C144" s="9">
        <f t="shared" si="13"/>
        <v>799.49245342702693</v>
      </c>
      <c r="D144" s="9">
        <f t="shared" si="14"/>
        <v>-675.66577041095888</v>
      </c>
      <c r="E144" s="9">
        <f t="shared" si="15"/>
        <v>7662.7819629605265</v>
      </c>
      <c r="F144" s="9">
        <f t="shared" si="16"/>
        <v>3.4867500519999997E-2</v>
      </c>
      <c r="G144" s="9">
        <f t="shared" si="17"/>
        <v>7786.6435134771145</v>
      </c>
      <c r="H144" s="10">
        <v>42</v>
      </c>
      <c r="I144" s="11">
        <f t="shared" si="18"/>
        <v>0.7786643513477115</v>
      </c>
      <c r="J144" s="3"/>
      <c r="K144" s="3"/>
      <c r="L144" s="3"/>
      <c r="M144" s="3"/>
      <c r="N144" s="6"/>
      <c r="O144" s="12">
        <v>1242.9084359999999</v>
      </c>
      <c r="P144" s="12">
        <v>-1233.090031</v>
      </c>
      <c r="Q144" s="12">
        <v>12799.372069999999</v>
      </c>
      <c r="R144" s="12">
        <v>3.4867500519999997E-2</v>
      </c>
      <c r="S144" s="12">
        <v>12809.225340000001</v>
      </c>
      <c r="T144" s="3"/>
      <c r="U144" s="3"/>
      <c r="V144" s="9">
        <v>0.64</v>
      </c>
      <c r="W144" s="9">
        <v>1</v>
      </c>
      <c r="X144" s="3"/>
      <c r="Y144" s="3"/>
      <c r="Z144" s="3"/>
    </row>
    <row r="145" spans="1:26" x14ac:dyDescent="0.25">
      <c r="A145" s="3"/>
      <c r="B145" s="3"/>
      <c r="C145" s="9">
        <f t="shared" si="13"/>
        <v>768.66403232972982</v>
      </c>
      <c r="D145" s="9">
        <f t="shared" si="14"/>
        <v>-644.1578049315068</v>
      </c>
      <c r="E145" s="9">
        <f t="shared" si="15"/>
        <v>7237.0134200000002</v>
      </c>
      <c r="F145" s="9">
        <f t="shared" si="16"/>
        <v>3.522762745E-2</v>
      </c>
      <c r="G145" s="9">
        <f t="shared" si="17"/>
        <v>7361.554875025673</v>
      </c>
      <c r="H145" s="10">
        <v>43</v>
      </c>
      <c r="I145" s="11">
        <f t="shared" si="18"/>
        <v>0.73615548750256732</v>
      </c>
      <c r="J145" s="3"/>
      <c r="K145" s="3"/>
      <c r="L145" s="3"/>
      <c r="M145" s="3"/>
      <c r="N145" s="6"/>
      <c r="O145" s="12">
        <v>1194.9818990000001</v>
      </c>
      <c r="P145" s="12">
        <v>-1175.587994</v>
      </c>
      <c r="Q145" s="12">
        <v>12088.19824</v>
      </c>
      <c r="R145" s="12">
        <v>3.522762745E-2</v>
      </c>
      <c r="S145" s="12">
        <v>12107.62737</v>
      </c>
      <c r="T145" s="3"/>
      <c r="U145" s="3"/>
      <c r="V145" s="9">
        <v>0.64</v>
      </c>
      <c r="W145" s="9">
        <v>1</v>
      </c>
      <c r="X145" s="3"/>
      <c r="Y145" s="3"/>
      <c r="Z145" s="3"/>
    </row>
    <row r="146" spans="1:26" x14ac:dyDescent="0.25">
      <c r="A146" s="3"/>
      <c r="B146" s="3"/>
      <c r="C146" s="9">
        <f t="shared" si="13"/>
        <v>738.58135914594584</v>
      </c>
      <c r="D146" s="9">
        <f t="shared" si="14"/>
        <v>-614.12288219178072</v>
      </c>
      <c r="E146" s="9">
        <f t="shared" si="15"/>
        <v>6826.4819888815791</v>
      </c>
      <c r="F146" s="9">
        <f t="shared" si="16"/>
        <v>4.4646316849999999E-2</v>
      </c>
      <c r="G146" s="9">
        <f t="shared" si="17"/>
        <v>6950.9851121525944</v>
      </c>
      <c r="H146" s="10">
        <v>44</v>
      </c>
      <c r="I146" s="11">
        <f t="shared" si="18"/>
        <v>0.69509851121525945</v>
      </c>
      <c r="J146" s="3"/>
      <c r="K146" s="3"/>
      <c r="L146" s="3"/>
      <c r="M146" s="3"/>
      <c r="N146" s="6"/>
      <c r="O146" s="12">
        <v>1148.2147179999999</v>
      </c>
      <c r="P146" s="12">
        <v>-1120.7742599999999</v>
      </c>
      <c r="Q146" s="12">
        <v>11402.475409999999</v>
      </c>
      <c r="R146" s="12">
        <v>4.4646316849999999E-2</v>
      </c>
      <c r="S146" s="12">
        <v>11429.960510000001</v>
      </c>
      <c r="T146" s="3"/>
      <c r="U146" s="3"/>
      <c r="V146" s="9">
        <v>0.64</v>
      </c>
      <c r="W146" s="9">
        <v>1</v>
      </c>
      <c r="X146" s="3"/>
      <c r="Y146" s="3"/>
      <c r="Z146" s="3"/>
    </row>
    <row r="147" spans="1:26" x14ac:dyDescent="0.25">
      <c r="A147" s="3"/>
      <c r="B147" s="3"/>
      <c r="C147" s="9">
        <f t="shared" si="13"/>
        <v>708.57903926486495</v>
      </c>
      <c r="D147" s="9">
        <f t="shared" si="14"/>
        <v>-585.00737205479447</v>
      </c>
      <c r="E147" s="9">
        <f t="shared" si="15"/>
        <v>6429.8512268421055</v>
      </c>
      <c r="F147" s="9">
        <f t="shared" si="16"/>
        <v>2.8910406850000001E-2</v>
      </c>
      <c r="G147" s="9">
        <f t="shared" si="17"/>
        <v>6553.4518044590259</v>
      </c>
      <c r="H147" s="10">
        <v>45</v>
      </c>
      <c r="I147" s="11">
        <f t="shared" si="18"/>
        <v>0.65534518044590262</v>
      </c>
      <c r="J147" s="3"/>
      <c r="K147" s="3"/>
      <c r="L147" s="3"/>
      <c r="M147" s="3"/>
      <c r="N147" s="6"/>
      <c r="O147" s="12">
        <v>1101.5724560000001</v>
      </c>
      <c r="P147" s="12">
        <v>-1067.6384539999999</v>
      </c>
      <c r="Q147" s="12">
        <v>10739.97128</v>
      </c>
      <c r="R147" s="12">
        <v>2.8910406850000001E-2</v>
      </c>
      <c r="S147" s="12">
        <v>10773.93419</v>
      </c>
      <c r="T147" s="3"/>
      <c r="U147" s="3"/>
      <c r="V147" s="9">
        <v>0.64</v>
      </c>
      <c r="W147" s="9">
        <v>1</v>
      </c>
      <c r="X147" s="3"/>
      <c r="Y147" s="3"/>
      <c r="Z147" s="3"/>
    </row>
    <row r="148" spans="1:26" x14ac:dyDescent="0.25">
      <c r="A148" s="3"/>
      <c r="B148" s="3"/>
      <c r="C148" s="9">
        <f t="shared" si="13"/>
        <v>678.49959580540542</v>
      </c>
      <c r="D148" s="9">
        <f t="shared" si="14"/>
        <v>-556.52639999999997</v>
      </c>
      <c r="E148" s="9">
        <f t="shared" si="15"/>
        <v>6045.8384170394738</v>
      </c>
      <c r="F148" s="9">
        <f t="shared" si="16"/>
        <v>4.319499182E-2</v>
      </c>
      <c r="G148" s="9">
        <f t="shared" si="17"/>
        <v>6167.8548078366994</v>
      </c>
      <c r="H148" s="10">
        <v>46</v>
      </c>
      <c r="I148" s="11">
        <f t="shared" si="18"/>
        <v>0.6167854807836699</v>
      </c>
      <c r="J148" s="3"/>
      <c r="K148" s="3"/>
      <c r="L148" s="3"/>
      <c r="M148" s="3"/>
      <c r="N148" s="6"/>
      <c r="O148" s="12">
        <v>1054.8102960000001</v>
      </c>
      <c r="P148" s="12">
        <v>-1015.66068</v>
      </c>
      <c r="Q148" s="12">
        <v>10098.54329</v>
      </c>
      <c r="R148" s="12">
        <v>4.319499182E-2</v>
      </c>
      <c r="S148" s="12">
        <v>10137.7361</v>
      </c>
      <c r="T148" s="3"/>
      <c r="U148" s="3"/>
      <c r="V148" s="9">
        <v>0.64</v>
      </c>
      <c r="W148" s="9">
        <v>1</v>
      </c>
      <c r="X148" s="3"/>
      <c r="Y148" s="3"/>
      <c r="Z148" s="3"/>
    </row>
    <row r="149" spans="1:26" x14ac:dyDescent="0.25">
      <c r="A149" s="3"/>
      <c r="B149" s="3"/>
      <c r="C149" s="9">
        <f t="shared" si="13"/>
        <v>647.34671509729731</v>
      </c>
      <c r="D149" s="9">
        <f t="shared" si="14"/>
        <v>-527.91386969863015</v>
      </c>
      <c r="E149" s="9">
        <f t="shared" si="15"/>
        <v>5669.8679130394748</v>
      </c>
      <c r="F149" s="9">
        <f t="shared" si="16"/>
        <v>3.1408008920000001E-2</v>
      </c>
      <c r="G149" s="9">
        <f t="shared" si="17"/>
        <v>5789.3321664470623</v>
      </c>
      <c r="H149" s="10">
        <v>47</v>
      </c>
      <c r="I149" s="11">
        <f t="shared" si="18"/>
        <v>0.57893321664470621</v>
      </c>
      <c r="J149" s="3"/>
      <c r="K149" s="3"/>
      <c r="L149" s="3"/>
      <c r="M149" s="3"/>
      <c r="N149" s="6"/>
      <c r="O149" s="12">
        <v>1006.3793470000001</v>
      </c>
      <c r="P149" s="12">
        <v>-963.44281220000005</v>
      </c>
      <c r="Q149" s="12">
        <v>9470.5486020000008</v>
      </c>
      <c r="R149" s="12">
        <v>3.1408008920000001E-2</v>
      </c>
      <c r="S149" s="12">
        <v>9513.5165450000004</v>
      </c>
      <c r="T149" s="3"/>
      <c r="U149" s="3"/>
      <c r="V149" s="9">
        <v>0.64</v>
      </c>
      <c r="W149" s="9">
        <v>1</v>
      </c>
      <c r="X149" s="3"/>
      <c r="Y149" s="3"/>
      <c r="Z149" s="3"/>
    </row>
    <row r="150" spans="1:26" x14ac:dyDescent="0.25">
      <c r="A150" s="3"/>
      <c r="B150" s="3"/>
      <c r="C150" s="9">
        <f t="shared" si="13"/>
        <v>614.48590271297292</v>
      </c>
      <c r="D150" s="9">
        <f t="shared" si="14"/>
        <v>-498.57057649315061</v>
      </c>
      <c r="E150" s="9">
        <f t="shared" si="15"/>
        <v>5297.5266788223689</v>
      </c>
      <c r="F150" s="9">
        <f t="shared" si="16"/>
        <v>2.8960798499999999E-2</v>
      </c>
      <c r="G150" s="9">
        <f t="shared" si="17"/>
        <v>5413.470965840691</v>
      </c>
      <c r="H150" s="10">
        <v>48</v>
      </c>
      <c r="I150" s="11">
        <f t="shared" si="18"/>
        <v>0.5413470965840691</v>
      </c>
      <c r="J150" s="3"/>
      <c r="K150" s="3"/>
      <c r="L150" s="3"/>
      <c r="M150" s="3"/>
      <c r="N150" s="6"/>
      <c r="O150" s="12">
        <v>955.29321010000001</v>
      </c>
      <c r="P150" s="12">
        <v>-909.89130209999996</v>
      </c>
      <c r="Q150" s="12">
        <v>8848.6159910000006</v>
      </c>
      <c r="R150" s="12">
        <v>2.8960798499999999E-2</v>
      </c>
      <c r="S150" s="12">
        <v>8894.0468600000004</v>
      </c>
      <c r="T150" s="3"/>
      <c r="U150" s="3"/>
      <c r="V150" s="9">
        <v>0.64</v>
      </c>
      <c r="W150" s="9">
        <v>1</v>
      </c>
      <c r="X150" s="3"/>
      <c r="Y150" s="3"/>
      <c r="Z150" s="3"/>
    </row>
    <row r="151" spans="1:26" x14ac:dyDescent="0.25">
      <c r="A151" s="3"/>
      <c r="B151" s="3"/>
      <c r="C151" s="9">
        <f t="shared" si="13"/>
        <v>580.19365534540543</v>
      </c>
      <c r="D151" s="9">
        <f t="shared" si="14"/>
        <v>-468.6005528219178</v>
      </c>
      <c r="E151" s="9">
        <f t="shared" si="15"/>
        <v>4927.9680138684216</v>
      </c>
      <c r="F151" s="9">
        <f t="shared" si="16"/>
        <v>4.2056959749999998E-2</v>
      </c>
      <c r="G151" s="9">
        <f t="shared" si="17"/>
        <v>5039.6031733516593</v>
      </c>
      <c r="H151" s="10">
        <v>49</v>
      </c>
      <c r="I151" s="11">
        <f t="shared" si="18"/>
        <v>0.50396031733516589</v>
      </c>
      <c r="J151" s="3"/>
      <c r="K151" s="3"/>
      <c r="L151" s="3"/>
      <c r="M151" s="3"/>
      <c r="N151" s="6"/>
      <c r="O151" s="12">
        <v>901.98173310000004</v>
      </c>
      <c r="P151" s="12">
        <v>-855.19600890000004</v>
      </c>
      <c r="Q151" s="12">
        <v>8231.3311880000001</v>
      </c>
      <c r="R151" s="12">
        <v>4.2056959749999998E-2</v>
      </c>
      <c r="S151" s="12">
        <v>8278.1589690000001</v>
      </c>
      <c r="T151" s="3"/>
      <c r="U151" s="3"/>
      <c r="V151" s="9">
        <v>0.64</v>
      </c>
      <c r="W151" s="9">
        <v>1</v>
      </c>
      <c r="X151" s="3"/>
      <c r="Y151" s="3"/>
      <c r="Z151" s="3"/>
    </row>
    <row r="152" spans="1:26" x14ac:dyDescent="0.25">
      <c r="A152" s="3"/>
      <c r="B152" s="3"/>
      <c r="C152" s="9">
        <f t="shared" si="13"/>
        <v>543.32227363513516</v>
      </c>
      <c r="D152" s="9">
        <f t="shared" si="14"/>
        <v>-437.10414958904107</v>
      </c>
      <c r="E152" s="9">
        <f t="shared" si="15"/>
        <v>4554.3522887302634</v>
      </c>
      <c r="F152" s="9">
        <f t="shared" si="16"/>
        <v>4.882949625E-2</v>
      </c>
      <c r="G152" s="9">
        <f t="shared" si="17"/>
        <v>4660.6192422726072</v>
      </c>
      <c r="H152" s="10">
        <v>50</v>
      </c>
      <c r="I152" s="11">
        <f t="shared" si="18"/>
        <v>0.46606192422726073</v>
      </c>
      <c r="J152" s="3"/>
      <c r="K152" s="3"/>
      <c r="L152" s="3"/>
      <c r="M152" s="3"/>
      <c r="N152" s="6"/>
      <c r="O152" s="12">
        <v>844.66067750000002</v>
      </c>
      <c r="P152" s="12">
        <v>-797.71507299999996</v>
      </c>
      <c r="Q152" s="12">
        <v>7607.269757</v>
      </c>
      <c r="R152" s="12">
        <v>4.882949625E-2</v>
      </c>
      <c r="S152" s="12">
        <v>7654.2641910000002</v>
      </c>
      <c r="T152" s="3"/>
      <c r="U152" s="3"/>
      <c r="V152" s="9">
        <v>0.64</v>
      </c>
      <c r="W152" s="9">
        <v>1</v>
      </c>
      <c r="X152" s="3"/>
      <c r="Y152" s="3"/>
      <c r="Z152" s="3"/>
    </row>
    <row r="153" spans="1:26" x14ac:dyDescent="0.25">
      <c r="A153" s="3"/>
      <c r="B153" s="3"/>
      <c r="C153" s="9">
        <f t="shared" si="13"/>
        <v>504.18156076702701</v>
      </c>
      <c r="D153" s="9">
        <f t="shared" si="14"/>
        <v>-404.24849556164384</v>
      </c>
      <c r="E153" s="9">
        <f t="shared" si="15"/>
        <v>4176.884891006579</v>
      </c>
      <c r="F153" s="9">
        <f t="shared" si="16"/>
        <v>5.0627828380000003E-2</v>
      </c>
      <c r="G153" s="9">
        <f t="shared" si="17"/>
        <v>4276.8685840403423</v>
      </c>
      <c r="H153" s="10">
        <v>51</v>
      </c>
      <c r="I153" s="11">
        <f t="shared" si="18"/>
        <v>0.42768685840403425</v>
      </c>
      <c r="J153" s="3"/>
      <c r="K153" s="3"/>
      <c r="L153" s="3"/>
      <c r="M153" s="3"/>
      <c r="N153" s="6"/>
      <c r="O153" s="12">
        <v>783.81167010000001</v>
      </c>
      <c r="P153" s="12">
        <v>-737.7535044</v>
      </c>
      <c r="Q153" s="12">
        <v>6976.7747630000003</v>
      </c>
      <c r="R153" s="12">
        <v>5.0627828380000003E-2</v>
      </c>
      <c r="S153" s="12">
        <v>7022.8835570000001</v>
      </c>
      <c r="T153" s="3"/>
      <c r="U153" s="3"/>
      <c r="V153" s="9">
        <v>0.64</v>
      </c>
      <c r="W153" s="9">
        <v>1</v>
      </c>
      <c r="X153" s="3"/>
      <c r="Y153" s="3"/>
      <c r="Z153" s="3"/>
    </row>
    <row r="154" spans="1:26" x14ac:dyDescent="0.25">
      <c r="A154" s="3"/>
      <c r="B154" s="3"/>
      <c r="C154" s="9">
        <f t="shared" si="13"/>
        <v>462.1956948454054</v>
      </c>
      <c r="D154" s="9">
        <f t="shared" si="14"/>
        <v>-369.5715579726027</v>
      </c>
      <c r="E154" s="9">
        <f t="shared" si="15"/>
        <v>3791.9777619407896</v>
      </c>
      <c r="F154" s="9">
        <f t="shared" si="16"/>
        <v>3.4437071860000001E-2</v>
      </c>
      <c r="G154" s="9">
        <f t="shared" si="17"/>
        <v>3884.6363358854524</v>
      </c>
      <c r="H154" s="10">
        <v>52</v>
      </c>
      <c r="I154" s="11">
        <f t="shared" si="18"/>
        <v>0.38846363358854524</v>
      </c>
      <c r="J154" s="3"/>
      <c r="K154" s="3"/>
      <c r="L154" s="3"/>
      <c r="M154" s="3"/>
      <c r="N154" s="6"/>
      <c r="O154" s="12">
        <v>718.53952560000005</v>
      </c>
      <c r="P154" s="12">
        <v>-674.46809329999996</v>
      </c>
      <c r="Q154" s="12">
        <v>6333.852965</v>
      </c>
      <c r="R154" s="12">
        <v>3.4437071860000001E-2</v>
      </c>
      <c r="S154" s="12">
        <v>6377.9588350000004</v>
      </c>
      <c r="T154" s="3"/>
      <c r="U154" s="3"/>
      <c r="V154" s="9">
        <v>0.64</v>
      </c>
      <c r="W154" s="9">
        <v>1</v>
      </c>
      <c r="X154" s="3"/>
      <c r="Y154" s="3"/>
      <c r="Z154" s="3"/>
    </row>
    <row r="155" spans="1:26" x14ac:dyDescent="0.25">
      <c r="A155" s="3"/>
      <c r="B155" s="3"/>
      <c r="C155" s="9">
        <f t="shared" si="13"/>
        <v>418.25235598432431</v>
      </c>
      <c r="D155" s="9">
        <f t="shared" si="14"/>
        <v>-333.6813517808219</v>
      </c>
      <c r="E155" s="9">
        <f t="shared" si="15"/>
        <v>3403.7955141381581</v>
      </c>
      <c r="F155" s="9">
        <f t="shared" si="16"/>
        <v>1.9925548809999999E-2</v>
      </c>
      <c r="G155" s="9">
        <f t="shared" si="17"/>
        <v>3488.3864438904707</v>
      </c>
      <c r="H155" s="10">
        <v>53</v>
      </c>
      <c r="I155" s="11">
        <f t="shared" si="18"/>
        <v>0.34883864438904705</v>
      </c>
      <c r="J155" s="3"/>
      <c r="K155" s="3"/>
      <c r="L155" s="3"/>
      <c r="M155" s="3"/>
      <c r="N155" s="6"/>
      <c r="O155" s="12">
        <v>650.22425090000002</v>
      </c>
      <c r="P155" s="12">
        <v>-608.96846700000003</v>
      </c>
      <c r="Q155" s="12">
        <v>5685.4606389999999</v>
      </c>
      <c r="R155" s="12">
        <v>1.9925548809999999E-2</v>
      </c>
      <c r="S155" s="12">
        <v>5726.7363489999998</v>
      </c>
      <c r="T155" s="3"/>
      <c r="U155" s="3"/>
      <c r="V155" s="9">
        <v>0.64</v>
      </c>
      <c r="W155" s="9">
        <v>1</v>
      </c>
      <c r="X155" s="3"/>
      <c r="Y155" s="3"/>
      <c r="Z155" s="3"/>
    </row>
    <row r="156" spans="1:26" x14ac:dyDescent="0.25">
      <c r="A156" s="3"/>
      <c r="B156" s="3"/>
      <c r="C156" s="9">
        <f t="shared" si="13"/>
        <v>372.42076809189189</v>
      </c>
      <c r="D156" s="9">
        <f t="shared" si="14"/>
        <v>-296.60464673972604</v>
      </c>
      <c r="E156" s="9">
        <f t="shared" si="15"/>
        <v>3012.5212228355263</v>
      </c>
      <c r="F156" s="9">
        <f t="shared" si="16"/>
        <v>1.343703677E-3</v>
      </c>
      <c r="G156" s="9">
        <f t="shared" si="17"/>
        <v>3088.3386878913689</v>
      </c>
      <c r="H156" s="10">
        <v>54</v>
      </c>
      <c r="I156" s="11">
        <f t="shared" si="18"/>
        <v>0.30883386878913688</v>
      </c>
      <c r="J156" s="3"/>
      <c r="K156" s="3"/>
      <c r="L156" s="3"/>
      <c r="M156" s="3"/>
      <c r="N156" s="6"/>
      <c r="O156" s="12">
        <v>578.97346300000004</v>
      </c>
      <c r="P156" s="12">
        <v>-541.30348030000005</v>
      </c>
      <c r="Q156" s="12">
        <v>5031.9035809999996</v>
      </c>
      <c r="R156" s="12">
        <v>1.343703677E-3</v>
      </c>
      <c r="S156" s="12">
        <v>5069.5749070000002</v>
      </c>
      <c r="T156" s="3"/>
      <c r="U156" s="3"/>
      <c r="V156" s="9">
        <v>0.64</v>
      </c>
      <c r="W156" s="9">
        <v>1</v>
      </c>
      <c r="X156" s="3"/>
      <c r="Y156" s="3"/>
      <c r="Z156" s="3"/>
    </row>
    <row r="157" spans="1:26" x14ac:dyDescent="0.25">
      <c r="A157" s="3"/>
      <c r="B157" s="3"/>
      <c r="C157" s="9">
        <f t="shared" si="13"/>
        <v>328.30553656108106</v>
      </c>
      <c r="D157" s="9">
        <f t="shared" si="14"/>
        <v>-261.03393145205479</v>
      </c>
      <c r="E157" s="9">
        <f t="shared" si="15"/>
        <v>2640.5229257105266</v>
      </c>
      <c r="F157" s="9">
        <f t="shared" si="16"/>
        <v>2.8183462289999999E-2</v>
      </c>
      <c r="G157" s="9">
        <f t="shared" si="17"/>
        <v>2707.8227142818432</v>
      </c>
      <c r="H157" s="10">
        <v>55</v>
      </c>
      <c r="I157" s="11">
        <f t="shared" si="18"/>
        <v>0.27078227142818434</v>
      </c>
      <c r="J157" s="3"/>
      <c r="K157" s="3"/>
      <c r="L157" s="3"/>
      <c r="M157" s="3"/>
      <c r="N157" s="6"/>
      <c r="O157" s="12">
        <v>510.39096019999999</v>
      </c>
      <c r="P157" s="12">
        <v>-476.3869249</v>
      </c>
      <c r="Q157" s="12">
        <v>4410.5437879999999</v>
      </c>
      <c r="R157" s="12">
        <v>2.8183462289999999E-2</v>
      </c>
      <c r="S157" s="12">
        <v>4444.5760069999997</v>
      </c>
      <c r="T157" s="3"/>
      <c r="U157" s="3"/>
      <c r="V157" s="9">
        <v>0.64</v>
      </c>
      <c r="W157" s="9">
        <v>1</v>
      </c>
      <c r="X157" s="3"/>
      <c r="Y157" s="3"/>
      <c r="Z157" s="3"/>
    </row>
    <row r="158" spans="1:26" x14ac:dyDescent="0.25">
      <c r="A158" s="3"/>
      <c r="B158" s="3"/>
      <c r="C158" s="9">
        <f t="shared" si="13"/>
        <v>284.19857031999999</v>
      </c>
      <c r="D158" s="9">
        <f t="shared" si="14"/>
        <v>-225.68148657534246</v>
      </c>
      <c r="E158" s="9">
        <f t="shared" si="15"/>
        <v>2277.6559044473684</v>
      </c>
      <c r="F158" s="9">
        <f t="shared" si="16"/>
        <v>5.985197364E-2</v>
      </c>
      <c r="G158" s="9">
        <f t="shared" si="17"/>
        <v>2336.2328401656659</v>
      </c>
      <c r="H158" s="10">
        <v>56</v>
      </c>
      <c r="I158" s="11">
        <f t="shared" si="18"/>
        <v>0.2336232840165666</v>
      </c>
      <c r="J158" s="3"/>
      <c r="K158" s="3"/>
      <c r="L158" s="3"/>
      <c r="M158" s="3"/>
      <c r="N158" s="6"/>
      <c r="O158" s="12">
        <v>441.8213068</v>
      </c>
      <c r="P158" s="12">
        <v>-411.86871300000001</v>
      </c>
      <c r="Q158" s="12">
        <v>3804.436236</v>
      </c>
      <c r="R158" s="12">
        <v>5.985197364E-2</v>
      </c>
      <c r="S158" s="12">
        <v>3834.4486820000002</v>
      </c>
      <c r="T158" s="3"/>
      <c r="U158" s="3"/>
      <c r="V158" s="9">
        <v>0.64</v>
      </c>
      <c r="W158" s="9">
        <v>1</v>
      </c>
      <c r="X158" s="3"/>
      <c r="Y158" s="3"/>
      <c r="Z158" s="3"/>
    </row>
    <row r="159" spans="1:26" x14ac:dyDescent="0.25">
      <c r="A159" s="3"/>
      <c r="B159" s="3"/>
      <c r="C159" s="9">
        <f t="shared" si="13"/>
        <v>244.57799586972973</v>
      </c>
      <c r="D159" s="9">
        <f t="shared" si="14"/>
        <v>-194.03047791780821</v>
      </c>
      <c r="E159" s="9">
        <f t="shared" si="15"/>
        <v>1951.7687208157897</v>
      </c>
      <c r="F159" s="9">
        <f t="shared" si="16"/>
        <v>2.848690429E-2</v>
      </c>
      <c r="G159" s="9">
        <f t="shared" si="17"/>
        <v>2002.3447256720012</v>
      </c>
      <c r="H159" s="10">
        <v>57</v>
      </c>
      <c r="I159" s="11">
        <f t="shared" si="18"/>
        <v>0.20023447256720012</v>
      </c>
      <c r="J159" s="3"/>
      <c r="K159" s="3"/>
      <c r="L159" s="3"/>
      <c r="M159" s="3"/>
      <c r="N159" s="6"/>
      <c r="O159" s="12">
        <v>380.22629610000001</v>
      </c>
      <c r="P159" s="12">
        <v>-354.10562220000003</v>
      </c>
      <c r="Q159" s="12">
        <v>3260.0972040000001</v>
      </c>
      <c r="R159" s="12">
        <v>2.848690429E-2</v>
      </c>
      <c r="S159" s="12">
        <v>3286.2463640000001</v>
      </c>
      <c r="T159" s="3"/>
      <c r="U159" s="3"/>
      <c r="V159" s="9">
        <v>0.64</v>
      </c>
      <c r="W159" s="9">
        <v>1</v>
      </c>
      <c r="X159" s="3"/>
      <c r="Y159" s="3"/>
      <c r="Z159" s="3"/>
    </row>
    <row r="160" spans="1:26" x14ac:dyDescent="0.25">
      <c r="A160" s="3"/>
      <c r="B160" s="3"/>
      <c r="C160" s="9">
        <f t="shared" si="13"/>
        <v>205.74680451027027</v>
      </c>
      <c r="D160" s="9">
        <f t="shared" si="14"/>
        <v>-163.11716498630139</v>
      </c>
      <c r="E160" s="9">
        <f t="shared" si="15"/>
        <v>1639.8638141052631</v>
      </c>
      <c r="F160" s="9">
        <f t="shared" si="16"/>
        <v>4.0385965090000003E-2</v>
      </c>
      <c r="G160" s="9">
        <f t="shared" si="17"/>
        <v>1682.5338395943222</v>
      </c>
      <c r="H160" s="10">
        <v>58</v>
      </c>
      <c r="I160" s="11">
        <f t="shared" si="18"/>
        <v>0.16825338395943223</v>
      </c>
      <c r="J160" s="3"/>
      <c r="K160" s="3"/>
      <c r="L160" s="3"/>
      <c r="M160" s="3"/>
      <c r="N160" s="6"/>
      <c r="O160" s="12">
        <v>319.85847760000001</v>
      </c>
      <c r="P160" s="12">
        <v>-297.68882610000003</v>
      </c>
      <c r="Q160" s="12">
        <v>2739.1131839999998</v>
      </c>
      <c r="R160" s="12">
        <v>4.0385965090000003E-2</v>
      </c>
      <c r="S160" s="12">
        <v>2761.323222</v>
      </c>
      <c r="T160" s="3"/>
      <c r="U160" s="3"/>
      <c r="V160" s="9">
        <v>0.64</v>
      </c>
      <c r="W160" s="9">
        <v>1</v>
      </c>
      <c r="X160" s="3"/>
      <c r="Y160" s="3"/>
      <c r="Z160" s="3"/>
    </row>
    <row r="161" spans="1:26" x14ac:dyDescent="0.25">
      <c r="A161" s="3"/>
      <c r="B161" s="3"/>
      <c r="C161" s="9">
        <f t="shared" si="13"/>
        <v>172.21835034486486</v>
      </c>
      <c r="D161" s="9">
        <f t="shared" si="14"/>
        <v>-136.45648328767123</v>
      </c>
      <c r="E161" s="9">
        <f t="shared" si="15"/>
        <v>1369.607241394737</v>
      </c>
      <c r="F161" s="9">
        <f t="shared" si="16"/>
        <v>3.086974E-2</v>
      </c>
      <c r="G161" s="9">
        <f t="shared" si="17"/>
        <v>1405.3999781919306</v>
      </c>
      <c r="H161" s="10">
        <v>59</v>
      </c>
      <c r="I161" s="11">
        <f t="shared" si="18"/>
        <v>0.14053999781919305</v>
      </c>
      <c r="J161" s="3"/>
      <c r="K161" s="3"/>
      <c r="L161" s="3"/>
      <c r="M161" s="3"/>
      <c r="N161" s="6"/>
      <c r="O161" s="12">
        <v>267.73441020000001</v>
      </c>
      <c r="P161" s="12">
        <v>-249.03308200000001</v>
      </c>
      <c r="Q161" s="12">
        <v>2287.695612</v>
      </c>
      <c r="R161" s="12">
        <v>3.086974E-2</v>
      </c>
      <c r="S161" s="12">
        <v>2306.4278100000001</v>
      </c>
      <c r="T161" s="3"/>
      <c r="U161" s="3"/>
      <c r="V161" s="9">
        <v>0.64</v>
      </c>
      <c r="W161" s="9">
        <v>1</v>
      </c>
      <c r="X161" s="3"/>
      <c r="Y161" s="3"/>
      <c r="Z161" s="3"/>
    </row>
    <row r="162" spans="1:26" x14ac:dyDescent="0.25">
      <c r="A162" s="3"/>
      <c r="B162" s="3"/>
      <c r="C162" s="9">
        <f t="shared" si="13"/>
        <v>142.2397820918919</v>
      </c>
      <c r="D162" s="9">
        <f t="shared" si="14"/>
        <v>-112.67960010958903</v>
      </c>
      <c r="E162" s="9">
        <f t="shared" si="15"/>
        <v>1129.764874875</v>
      </c>
      <c r="F162" s="9">
        <f t="shared" si="16"/>
        <v>4.678980943E-4</v>
      </c>
      <c r="G162" s="9">
        <f t="shared" si="17"/>
        <v>1159.3255247553971</v>
      </c>
      <c r="H162" s="10">
        <v>60</v>
      </c>
      <c r="I162" s="11">
        <f t="shared" si="18"/>
        <v>0.1159325524755397</v>
      </c>
      <c r="J162" s="3"/>
      <c r="K162" s="3"/>
      <c r="L162" s="3"/>
      <c r="M162" s="3"/>
      <c r="N162" s="6"/>
      <c r="O162" s="12">
        <v>221.12907300000001</v>
      </c>
      <c r="P162" s="12">
        <v>-205.6402702</v>
      </c>
      <c r="Q162" s="12">
        <v>1887.0797909999999</v>
      </c>
      <c r="R162" s="12">
        <v>4.678980943E-4</v>
      </c>
      <c r="S162" s="12">
        <v>1902.5690609999999</v>
      </c>
      <c r="T162" s="3"/>
      <c r="U162" s="3"/>
      <c r="V162" s="9">
        <v>0.64</v>
      </c>
      <c r="W162" s="9">
        <v>1</v>
      </c>
      <c r="X162" s="3"/>
      <c r="Y162" s="3"/>
      <c r="Z162" s="3"/>
    </row>
    <row r="163" spans="1:26" x14ac:dyDescent="0.25">
      <c r="A163" s="3"/>
      <c r="B163" s="3"/>
      <c r="C163" s="9">
        <f t="shared" si="13"/>
        <v>116.0545550972973</v>
      </c>
      <c r="D163" s="9">
        <f t="shared" si="14"/>
        <v>-91.897632273972604</v>
      </c>
      <c r="E163" s="9">
        <f t="shared" si="15"/>
        <v>920.81979523026325</v>
      </c>
      <c r="F163" s="9">
        <f t="shared" si="16"/>
        <v>8.6044592849999994E-3</v>
      </c>
      <c r="G163" s="9">
        <f t="shared" si="17"/>
        <v>944.98532251287304</v>
      </c>
      <c r="H163" s="10">
        <v>61</v>
      </c>
      <c r="I163" s="11">
        <f t="shared" si="18"/>
        <v>9.4498532251287307E-2</v>
      </c>
      <c r="J163" s="3"/>
      <c r="K163" s="3"/>
      <c r="L163" s="3"/>
      <c r="M163" s="3"/>
      <c r="N163" s="6"/>
      <c r="O163" s="12">
        <v>180.42094700000001</v>
      </c>
      <c r="P163" s="12">
        <v>-167.7131789</v>
      </c>
      <c r="Q163" s="12">
        <v>1538.072625</v>
      </c>
      <c r="R163" s="12">
        <v>8.6044592849999994E-3</v>
      </c>
      <c r="S163" s="12">
        <v>1550.7889970000001</v>
      </c>
      <c r="T163" s="3"/>
      <c r="U163" s="3"/>
      <c r="V163" s="9">
        <v>0.64</v>
      </c>
      <c r="W163" s="9">
        <v>1</v>
      </c>
      <c r="X163" s="3"/>
      <c r="Y163" s="3"/>
      <c r="Z163" s="3"/>
    </row>
    <row r="164" spans="1:26" x14ac:dyDescent="0.25">
      <c r="A164" s="3"/>
      <c r="B164" s="3"/>
      <c r="C164" s="9">
        <f t="shared" si="13"/>
        <v>93.374598084864857</v>
      </c>
      <c r="D164" s="9">
        <f t="shared" si="14"/>
        <v>-73.919358684931495</v>
      </c>
      <c r="E164" s="9">
        <f t="shared" si="15"/>
        <v>740.37767990789473</v>
      </c>
      <c r="F164" s="9">
        <f t="shared" si="16"/>
        <v>8.6193541789999998E-3</v>
      </c>
      <c r="G164" s="9">
        <f t="shared" si="17"/>
        <v>759.84153866200711</v>
      </c>
      <c r="H164" s="10">
        <v>62</v>
      </c>
      <c r="I164" s="11">
        <f t="shared" si="18"/>
        <v>7.5984153866200707E-2</v>
      </c>
      <c r="J164" s="3"/>
      <c r="K164" s="3"/>
      <c r="L164" s="3"/>
      <c r="M164" s="3"/>
      <c r="N164" s="6"/>
      <c r="O164" s="12">
        <v>145.16219029999999</v>
      </c>
      <c r="P164" s="12">
        <v>-134.90282959999999</v>
      </c>
      <c r="Q164" s="12">
        <v>1236.674806</v>
      </c>
      <c r="R164" s="12">
        <v>8.6193541789999998E-3</v>
      </c>
      <c r="S164" s="12">
        <v>1246.9427860000001</v>
      </c>
      <c r="T164" s="3"/>
      <c r="U164" s="3"/>
      <c r="V164" s="9">
        <v>0.64</v>
      </c>
      <c r="W164" s="9">
        <v>1</v>
      </c>
      <c r="X164" s="3"/>
      <c r="Y164" s="3"/>
      <c r="Z164" s="3"/>
    </row>
    <row r="165" spans="1:26" x14ac:dyDescent="0.25">
      <c r="A165" s="3"/>
      <c r="B165" s="3"/>
      <c r="C165" s="9">
        <f t="shared" si="13"/>
        <v>74.109422747027025</v>
      </c>
      <c r="D165" s="9">
        <f t="shared" si="14"/>
        <v>-58.678648657534239</v>
      </c>
      <c r="E165" s="9">
        <f t="shared" si="15"/>
        <v>587.55941664276315</v>
      </c>
      <c r="F165" s="9">
        <f t="shared" si="16"/>
        <v>-1.429992773E-2</v>
      </c>
      <c r="G165" s="9">
        <f t="shared" si="17"/>
        <v>602.97589080452599</v>
      </c>
      <c r="H165" s="10">
        <v>63</v>
      </c>
      <c r="I165" s="11">
        <f t="shared" si="18"/>
        <v>6.0297589080452602E-2</v>
      </c>
      <c r="J165" s="3"/>
      <c r="K165" s="3"/>
      <c r="L165" s="3"/>
      <c r="M165" s="3"/>
      <c r="N165" s="6"/>
      <c r="O165" s="12">
        <v>115.2121278</v>
      </c>
      <c r="P165" s="12">
        <v>-107.08853379999999</v>
      </c>
      <c r="Q165" s="12">
        <v>981.41792669999995</v>
      </c>
      <c r="R165" s="12">
        <v>-1.429992773E-2</v>
      </c>
      <c r="S165" s="12">
        <v>989.52722080000001</v>
      </c>
      <c r="T165" s="3"/>
      <c r="U165" s="3"/>
      <c r="V165" s="9">
        <v>0.64</v>
      </c>
      <c r="W165" s="9">
        <v>1</v>
      </c>
      <c r="X165" s="3"/>
      <c r="Y165" s="3"/>
      <c r="Z165" s="3"/>
    </row>
    <row r="166" spans="1:26" x14ac:dyDescent="0.25">
      <c r="A166" s="3"/>
      <c r="B166" s="3"/>
      <c r="C166" s="9">
        <f t="shared" si="13"/>
        <v>56.577293758810804</v>
      </c>
      <c r="D166" s="9">
        <f t="shared" si="14"/>
        <v>-44.797319172602741</v>
      </c>
      <c r="E166" s="9">
        <f t="shared" si="15"/>
        <v>445.78782813157892</v>
      </c>
      <c r="F166" s="9">
        <f t="shared" si="16"/>
        <v>-6.9728197299999996E-3</v>
      </c>
      <c r="G166" s="9">
        <f t="shared" si="17"/>
        <v>457.56082989805702</v>
      </c>
      <c r="H166" s="10">
        <v>64</v>
      </c>
      <c r="I166" s="11">
        <f t="shared" si="18"/>
        <v>4.5756082989805699E-2</v>
      </c>
      <c r="J166" s="3"/>
      <c r="K166" s="3"/>
      <c r="L166" s="3"/>
      <c r="M166" s="3"/>
      <c r="N166" s="6"/>
      <c r="O166" s="12">
        <v>87.956297019999994</v>
      </c>
      <c r="P166" s="12">
        <v>-81.75510749</v>
      </c>
      <c r="Q166" s="12">
        <v>744.61263599999995</v>
      </c>
      <c r="R166" s="12">
        <v>-6.9728197299999996E-3</v>
      </c>
      <c r="S166" s="12">
        <v>750.80685270000004</v>
      </c>
      <c r="T166" s="3"/>
      <c r="U166" s="3"/>
      <c r="V166" s="9">
        <v>0.64</v>
      </c>
      <c r="W166" s="9">
        <v>1</v>
      </c>
      <c r="X166" s="3"/>
      <c r="Y166" s="3"/>
      <c r="Z166" s="3"/>
    </row>
    <row r="167" spans="1:26" x14ac:dyDescent="0.25">
      <c r="A167" s="3"/>
      <c r="B167" s="3"/>
      <c r="C167" s="9">
        <f t="shared" si="13"/>
        <v>44.871977552972972</v>
      </c>
      <c r="D167" s="9">
        <f t="shared" si="14"/>
        <v>-35.514807342465751</v>
      </c>
      <c r="E167" s="9">
        <f t="shared" si="15"/>
        <v>354.79500228421051</v>
      </c>
      <c r="F167" s="9">
        <f t="shared" si="16"/>
        <v>-9.5640189770000005E-3</v>
      </c>
      <c r="G167" s="9">
        <f t="shared" si="17"/>
        <v>364.1426084757407</v>
      </c>
      <c r="H167" s="10">
        <v>65</v>
      </c>
      <c r="I167" s="11">
        <f t="shared" si="18"/>
        <v>3.641426084757407E-2</v>
      </c>
      <c r="J167" s="3"/>
      <c r="K167" s="3"/>
      <c r="L167" s="3"/>
      <c r="M167" s="3"/>
      <c r="N167" s="6"/>
      <c r="O167" s="12">
        <v>69.758956699999999</v>
      </c>
      <c r="P167" s="12">
        <v>-64.814523399999999</v>
      </c>
      <c r="Q167" s="12">
        <v>592.62461919999998</v>
      </c>
      <c r="R167" s="12">
        <v>-9.5640189770000005E-3</v>
      </c>
      <c r="S167" s="12">
        <v>597.55948850000004</v>
      </c>
      <c r="T167" s="3"/>
      <c r="U167" s="3"/>
      <c r="V167" s="9">
        <v>0.64</v>
      </c>
      <c r="W167" s="9">
        <v>1</v>
      </c>
      <c r="X167" s="3"/>
      <c r="Y167" s="3"/>
      <c r="Z167" s="3"/>
    </row>
    <row r="168" spans="1:26" x14ac:dyDescent="0.25">
      <c r="A168" s="3"/>
      <c r="B168" s="3"/>
      <c r="C168" s="9">
        <f t="shared" si="13"/>
        <v>34.472272953999997</v>
      </c>
      <c r="D168" s="9">
        <f t="shared" si="14"/>
        <v>-27.271368810958904</v>
      </c>
      <c r="E168" s="9">
        <f t="shared" si="15"/>
        <v>272.94548261842107</v>
      </c>
      <c r="F168" s="9">
        <f t="shared" si="16"/>
        <v>-7.4281853630000002E-3</v>
      </c>
      <c r="G168" s="9">
        <f t="shared" si="17"/>
        <v>280.13895857609918</v>
      </c>
      <c r="H168" s="10">
        <v>66</v>
      </c>
      <c r="I168" s="11">
        <f t="shared" si="18"/>
        <v>2.8013895857609918E-2</v>
      </c>
      <c r="J168" s="3"/>
      <c r="K168" s="3"/>
      <c r="L168" s="3"/>
      <c r="M168" s="3"/>
      <c r="N168" s="6"/>
      <c r="O168" s="12">
        <v>53.591348709999998</v>
      </c>
      <c r="P168" s="12">
        <v>-49.770248080000002</v>
      </c>
      <c r="Q168" s="12">
        <v>455.90893799999998</v>
      </c>
      <c r="R168" s="12">
        <v>-7.4281853630000002E-3</v>
      </c>
      <c r="S168" s="12">
        <v>459.72261049999997</v>
      </c>
      <c r="T168" s="3"/>
      <c r="U168" s="3"/>
      <c r="V168" s="9">
        <v>0.64</v>
      </c>
      <c r="W168" s="9">
        <v>1</v>
      </c>
      <c r="X168" s="3"/>
      <c r="Y168" s="3"/>
      <c r="Z168" s="3"/>
    </row>
    <row r="169" spans="1:26" x14ac:dyDescent="0.25">
      <c r="A169" s="3"/>
      <c r="B169" s="3"/>
      <c r="C169" s="9">
        <f t="shared" si="13"/>
        <v>26.132524763459461</v>
      </c>
      <c r="D169" s="9">
        <f t="shared" si="14"/>
        <v>-20.661875545205476</v>
      </c>
      <c r="E169" s="9">
        <f t="shared" si="15"/>
        <v>206.88695246118422</v>
      </c>
      <c r="F169" s="9">
        <f t="shared" si="16"/>
        <v>-4.7812487799999996E-3</v>
      </c>
      <c r="G169" s="9">
        <f t="shared" si="17"/>
        <v>212.3528204306582</v>
      </c>
      <c r="H169" s="10">
        <v>67</v>
      </c>
      <c r="I169" s="11">
        <f t="shared" si="18"/>
        <v>2.1235282043065819E-2</v>
      </c>
      <c r="J169" s="3"/>
      <c r="K169" s="3"/>
      <c r="L169" s="3"/>
      <c r="M169" s="3"/>
      <c r="N169" s="6"/>
      <c r="O169" s="12">
        <v>40.626193960000002</v>
      </c>
      <c r="P169" s="12">
        <v>-37.707922869999997</v>
      </c>
      <c r="Q169" s="12">
        <v>345.56941510000001</v>
      </c>
      <c r="R169" s="12">
        <v>-4.7812487799999996E-3</v>
      </c>
      <c r="S169" s="12">
        <v>348.48290500000002</v>
      </c>
      <c r="T169" s="3"/>
      <c r="U169" s="3"/>
      <c r="V169" s="9">
        <v>0.64</v>
      </c>
      <c r="W169" s="9">
        <v>1</v>
      </c>
      <c r="X169" s="3"/>
      <c r="Y169" s="3"/>
      <c r="Z169" s="3"/>
    </row>
    <row r="170" spans="1:26" x14ac:dyDescent="0.25">
      <c r="A170" s="3"/>
      <c r="B170" s="3"/>
      <c r="C170" s="9">
        <f t="shared" si="13"/>
        <v>19.727240926702702</v>
      </c>
      <c r="D170" s="9">
        <f t="shared" si="14"/>
        <v>-15.584960186301368</v>
      </c>
      <c r="E170" s="9">
        <f t="shared" si="15"/>
        <v>156.14123399276318</v>
      </c>
      <c r="F170" s="9">
        <f t="shared" si="16"/>
        <v>-3.151474653E-3</v>
      </c>
      <c r="G170" s="9">
        <f t="shared" si="17"/>
        <v>160.2803632585115</v>
      </c>
      <c r="H170" s="10">
        <v>68</v>
      </c>
      <c r="I170" s="11">
        <f t="shared" si="18"/>
        <v>1.6028036325851151E-2</v>
      </c>
      <c r="J170" s="3"/>
      <c r="K170" s="3"/>
      <c r="L170" s="3"/>
      <c r="M170" s="3"/>
      <c r="N170" s="6"/>
      <c r="O170" s="12">
        <v>30.66839976</v>
      </c>
      <c r="P170" s="12">
        <v>-28.442552339999999</v>
      </c>
      <c r="Q170" s="12">
        <v>260.8073359</v>
      </c>
      <c r="R170" s="12">
        <v>-3.151474653E-3</v>
      </c>
      <c r="S170" s="12">
        <v>263.03003180000002</v>
      </c>
      <c r="T170" s="3"/>
      <c r="U170" s="3"/>
      <c r="V170" s="9">
        <v>0.64</v>
      </c>
      <c r="W170" s="9">
        <v>1</v>
      </c>
      <c r="X170" s="3"/>
      <c r="Y170" s="3"/>
      <c r="Z170" s="3"/>
    </row>
    <row r="171" spans="1:26" x14ac:dyDescent="0.25">
      <c r="A171" s="3"/>
      <c r="B171" s="3"/>
      <c r="C171" s="9">
        <f t="shared" si="13"/>
        <v>14.833445064918918</v>
      </c>
      <c r="D171" s="9">
        <f t="shared" si="14"/>
        <v>-11.705241145205479</v>
      </c>
      <c r="E171" s="9">
        <f t="shared" si="15"/>
        <v>117.37103997039473</v>
      </c>
      <c r="F171" s="9">
        <f t="shared" si="16"/>
        <v>-1.9910328629999998E-3</v>
      </c>
      <c r="G171" s="9">
        <f t="shared" si="17"/>
        <v>120.49725285724517</v>
      </c>
      <c r="H171" s="10">
        <v>69</v>
      </c>
      <c r="I171" s="11">
        <f t="shared" si="18"/>
        <v>1.2049725285724518E-2</v>
      </c>
      <c r="J171" s="3"/>
      <c r="K171" s="3"/>
      <c r="L171" s="3"/>
      <c r="M171" s="3"/>
      <c r="N171" s="6"/>
      <c r="O171" s="12">
        <v>23.06039779</v>
      </c>
      <c r="P171" s="12">
        <v>-21.362065090000002</v>
      </c>
      <c r="Q171" s="12">
        <v>196.04833049999999</v>
      </c>
      <c r="R171" s="12">
        <v>-1.9910328629999998E-3</v>
      </c>
      <c r="S171" s="12">
        <v>197.7446722</v>
      </c>
      <c r="T171" s="3"/>
      <c r="U171" s="3"/>
      <c r="V171" s="9">
        <v>0.64</v>
      </c>
      <c r="W171" s="9">
        <v>1</v>
      </c>
      <c r="X171" s="3"/>
      <c r="Y171" s="3"/>
      <c r="Z171" s="3"/>
    </row>
    <row r="172" spans="1:26" x14ac:dyDescent="0.25">
      <c r="A172" s="3"/>
      <c r="B172" s="3"/>
      <c r="C172" s="9">
        <f t="shared" si="13"/>
        <v>11.218720220702703</v>
      </c>
      <c r="D172" s="9">
        <f t="shared" si="14"/>
        <v>-8.839002849315067</v>
      </c>
      <c r="E172" s="9">
        <f t="shared" si="15"/>
        <v>88.734200519078939</v>
      </c>
      <c r="F172" s="9">
        <f t="shared" si="16"/>
        <v>-1.2373403020000001E-3</v>
      </c>
      <c r="G172" s="9">
        <f t="shared" si="17"/>
        <v>91.112680550164583</v>
      </c>
      <c r="H172" s="10">
        <v>70</v>
      </c>
      <c r="I172" s="11">
        <f t="shared" si="18"/>
        <v>9.1112680550164589E-3</v>
      </c>
      <c r="J172" s="3"/>
      <c r="K172" s="3"/>
      <c r="L172" s="3"/>
      <c r="M172" s="3"/>
      <c r="N172" s="6"/>
      <c r="O172" s="12">
        <v>17.440867570000002</v>
      </c>
      <c r="P172" s="12">
        <v>-16.131180199999999</v>
      </c>
      <c r="Q172" s="12">
        <v>148.21536789999999</v>
      </c>
      <c r="R172" s="12">
        <v>-1.2373403020000001E-3</v>
      </c>
      <c r="S172" s="12">
        <v>149.52381800000001</v>
      </c>
      <c r="T172" s="3"/>
      <c r="U172" s="3"/>
      <c r="V172" s="9">
        <v>0.64</v>
      </c>
      <c r="W172" s="9">
        <v>1</v>
      </c>
      <c r="X172" s="3"/>
      <c r="Y172" s="3"/>
      <c r="Z172" s="3"/>
    </row>
    <row r="173" spans="1:26" x14ac:dyDescent="0.25">
      <c r="A173" s="3"/>
      <c r="B173" s="3"/>
      <c r="C173" s="9">
        <f t="shared" si="13"/>
        <v>8.4668070635135138</v>
      </c>
      <c r="D173" s="9">
        <f t="shared" si="14"/>
        <v>-6.6564089589041089</v>
      </c>
      <c r="E173" s="9">
        <f t="shared" si="15"/>
        <v>66.930549151973693</v>
      </c>
      <c r="F173" s="9">
        <f t="shared" si="16"/>
        <v>-5.771391932E-4</v>
      </c>
      <c r="G173" s="9">
        <f t="shared" si="17"/>
        <v>68.740370117389901</v>
      </c>
      <c r="H173" s="10">
        <v>71</v>
      </c>
      <c r="I173" s="11">
        <f t="shared" si="18"/>
        <v>6.8740370117389904E-3</v>
      </c>
      <c r="J173" s="3"/>
      <c r="K173" s="3"/>
      <c r="L173" s="3"/>
      <c r="M173" s="3"/>
      <c r="N173" s="6"/>
      <c r="O173" s="12">
        <v>13.162683250000001</v>
      </c>
      <c r="P173" s="12">
        <v>-12.14794635</v>
      </c>
      <c r="Q173" s="12">
        <v>111.79608210000001</v>
      </c>
      <c r="R173" s="12">
        <v>-5.771391932E-4</v>
      </c>
      <c r="S173" s="12">
        <v>112.81024189999999</v>
      </c>
      <c r="T173" s="3"/>
      <c r="U173" s="3"/>
      <c r="V173" s="9">
        <v>0.64</v>
      </c>
      <c r="W173" s="9">
        <v>1</v>
      </c>
      <c r="X173" s="3"/>
      <c r="Y173" s="3"/>
      <c r="Z173" s="3"/>
    </row>
    <row r="174" spans="1:26" x14ac:dyDescent="0.25">
      <c r="A174" s="3"/>
      <c r="B174" s="3"/>
      <c r="C174" s="9">
        <f t="shared" si="13"/>
        <v>6.4604588685945945</v>
      </c>
      <c r="D174" s="9">
        <f t="shared" si="14"/>
        <v>-5.0650187008219172</v>
      </c>
      <c r="E174" s="9">
        <f t="shared" si="15"/>
        <v>51.031417739934213</v>
      </c>
      <c r="F174" s="9">
        <f t="shared" si="16"/>
        <v>-1.4420132649999999E-4</v>
      </c>
      <c r="G174" s="9">
        <f t="shared" si="17"/>
        <v>52.42671370638039</v>
      </c>
      <c r="H174" s="10">
        <v>72</v>
      </c>
      <c r="I174" s="11">
        <f t="shared" si="18"/>
        <v>5.2426713706380393E-3</v>
      </c>
      <c r="J174" s="3"/>
      <c r="K174" s="3"/>
      <c r="L174" s="3"/>
      <c r="M174" s="3"/>
      <c r="N174" s="6"/>
      <c r="O174" s="12">
        <v>10.04357051</v>
      </c>
      <c r="P174" s="12">
        <v>-9.2436591289999992</v>
      </c>
      <c r="Q174" s="12">
        <v>85.239291170000001</v>
      </c>
      <c r="R174" s="12">
        <v>-1.4420132649999999E-4</v>
      </c>
      <c r="S174" s="12">
        <v>86.039058350000005</v>
      </c>
      <c r="T174" s="3"/>
      <c r="U174" s="3"/>
      <c r="V174" s="9">
        <v>0.64</v>
      </c>
      <c r="W174" s="9">
        <v>1</v>
      </c>
      <c r="X174" s="3"/>
      <c r="Y174" s="3"/>
      <c r="Z174" s="3"/>
    </row>
    <row r="175" spans="1:26" x14ac:dyDescent="0.25">
      <c r="A175" s="3"/>
      <c r="B175" s="3"/>
      <c r="C175" s="9">
        <f t="shared" si="13"/>
        <v>4.9765011898378377</v>
      </c>
      <c r="D175" s="9">
        <f t="shared" si="14"/>
        <v>-3.8879267490410956</v>
      </c>
      <c r="E175" s="9">
        <f t="shared" si="15"/>
        <v>39.267876159473687</v>
      </c>
      <c r="F175" s="9">
        <f t="shared" si="16"/>
        <v>2.185124497E-4</v>
      </c>
      <c r="G175" s="9">
        <f t="shared" si="17"/>
        <v>40.356669112720127</v>
      </c>
      <c r="H175" s="10">
        <v>73</v>
      </c>
      <c r="I175" s="11">
        <f t="shared" si="18"/>
        <v>4.035666911272013E-3</v>
      </c>
      <c r="J175" s="3"/>
      <c r="K175" s="3"/>
      <c r="L175" s="3"/>
      <c r="M175" s="3"/>
      <c r="N175" s="6"/>
      <c r="O175" s="12">
        <v>7.7365774800000002</v>
      </c>
      <c r="P175" s="12">
        <v>-7.0954663169999996</v>
      </c>
      <c r="Q175" s="12">
        <v>65.59029864</v>
      </c>
      <c r="R175" s="12">
        <v>2.185124497E-4</v>
      </c>
      <c r="S175" s="12">
        <v>66.231628319999999</v>
      </c>
      <c r="T175" s="3"/>
      <c r="U175" s="3"/>
      <c r="V175" s="9">
        <v>0.64</v>
      </c>
      <c r="W175" s="9">
        <v>1</v>
      </c>
      <c r="X175" s="3"/>
      <c r="Y175" s="3"/>
      <c r="Z175" s="3"/>
    </row>
    <row r="176" spans="1:26" x14ac:dyDescent="0.25">
      <c r="A176" s="3"/>
      <c r="B176" s="3"/>
      <c r="C176" s="9">
        <f t="shared" si="13"/>
        <v>3.904951845313513</v>
      </c>
      <c r="D176" s="9">
        <f t="shared" si="14"/>
        <v>-3.0380734997260275</v>
      </c>
      <c r="E176" s="9">
        <f t="shared" si="15"/>
        <v>30.769369635789477</v>
      </c>
      <c r="F176" s="9">
        <f t="shared" si="16"/>
        <v>4.598925712E-4</v>
      </c>
      <c r="G176" s="9">
        <f t="shared" si="17"/>
        <v>31.636707873948161</v>
      </c>
      <c r="H176" s="10">
        <v>74</v>
      </c>
      <c r="I176" s="11">
        <f t="shared" si="18"/>
        <v>3.163670787394816E-3</v>
      </c>
      <c r="J176" s="3"/>
      <c r="K176" s="3"/>
      <c r="L176" s="3"/>
      <c r="M176" s="3"/>
      <c r="N176" s="6"/>
      <c r="O176" s="12">
        <v>6.0707234569999997</v>
      </c>
      <c r="P176" s="12">
        <v>-5.5444841370000004</v>
      </c>
      <c r="Q176" s="12">
        <v>51.394991040000001</v>
      </c>
      <c r="R176" s="12">
        <v>4.598925712E-4</v>
      </c>
      <c r="S176" s="12">
        <v>51.921690259999998</v>
      </c>
      <c r="T176" s="3"/>
      <c r="U176" s="3"/>
      <c r="V176" s="9">
        <v>0.64</v>
      </c>
      <c r="W176" s="9">
        <v>1</v>
      </c>
      <c r="X176" s="3"/>
      <c r="Y176" s="3"/>
      <c r="Z176" s="3"/>
    </row>
    <row r="177" spans="1:26" x14ac:dyDescent="0.25">
      <c r="A177" s="3"/>
      <c r="B177" s="3"/>
      <c r="C177" s="9">
        <f t="shared" si="13"/>
        <v>3.1069672820540539</v>
      </c>
      <c r="D177" s="9">
        <f t="shared" si="14"/>
        <v>-2.4053297572602736</v>
      </c>
      <c r="E177" s="9">
        <f t="shared" si="15"/>
        <v>24.435761116513159</v>
      </c>
      <c r="F177" s="9">
        <f t="shared" si="16"/>
        <v>6.2422859640000002E-4</v>
      </c>
      <c r="G177" s="9">
        <f t="shared" si="17"/>
        <v>25.138022869903342</v>
      </c>
      <c r="H177" s="10">
        <v>75</v>
      </c>
      <c r="I177" s="11">
        <f t="shared" si="18"/>
        <v>2.5138022869903342E-3</v>
      </c>
      <c r="J177" s="3"/>
      <c r="K177" s="3"/>
      <c r="L177" s="3"/>
      <c r="M177" s="3"/>
      <c r="N177" s="6"/>
      <c r="O177" s="12">
        <v>4.8301592199999996</v>
      </c>
      <c r="P177" s="12">
        <v>-4.3897268069999997</v>
      </c>
      <c r="Q177" s="12">
        <v>40.815776810000003</v>
      </c>
      <c r="R177" s="12">
        <v>6.2422859640000002E-4</v>
      </c>
      <c r="S177" s="12">
        <v>41.256833450000002</v>
      </c>
      <c r="T177" s="3"/>
      <c r="U177" s="3"/>
      <c r="V177" s="9">
        <v>0.64</v>
      </c>
      <c r="W177" s="9">
        <v>1</v>
      </c>
      <c r="X177" s="3"/>
      <c r="Y177" s="3"/>
      <c r="Z177" s="3"/>
    </row>
    <row r="178" spans="1:26" x14ac:dyDescent="0.25">
      <c r="A178" s="3"/>
      <c r="B178" s="3"/>
      <c r="C178" s="9">
        <f t="shared" si="13"/>
        <v>2.4852624206540539</v>
      </c>
      <c r="D178" s="9">
        <f t="shared" si="14"/>
        <v>-1.9125037101369864</v>
      </c>
      <c r="E178" s="9">
        <f t="shared" si="15"/>
        <v>19.495813645921054</v>
      </c>
      <c r="F178" s="9">
        <f t="shared" si="16"/>
        <v>7.3944530409999999E-4</v>
      </c>
      <c r="G178" s="9">
        <f t="shared" si="17"/>
        <v>20.06931180174222</v>
      </c>
      <c r="H178" s="10">
        <v>76</v>
      </c>
      <c r="I178" s="11">
        <f t="shared" si="18"/>
        <v>2.0069311801742219E-3</v>
      </c>
      <c r="J178" s="3"/>
      <c r="K178" s="3"/>
      <c r="L178" s="3"/>
      <c r="M178" s="3"/>
      <c r="N178" s="6"/>
      <c r="O178" s="12">
        <v>3.8636432589999998</v>
      </c>
      <c r="P178" s="12">
        <v>-3.4903192710000002</v>
      </c>
      <c r="Q178" s="12">
        <v>32.564435979999999</v>
      </c>
      <c r="R178" s="12">
        <v>7.3944530409999999E-4</v>
      </c>
      <c r="S178" s="12">
        <v>32.938499409999999</v>
      </c>
      <c r="T178" s="3"/>
      <c r="U178" s="3"/>
      <c r="V178" s="9">
        <v>0.64</v>
      </c>
      <c r="W178" s="9">
        <v>1</v>
      </c>
      <c r="X178" s="3"/>
      <c r="Y178" s="3"/>
      <c r="Z178" s="3"/>
    </row>
    <row r="179" spans="1:26" x14ac:dyDescent="0.25">
      <c r="A179" s="3"/>
      <c r="B179" s="3"/>
      <c r="C179" s="9">
        <f t="shared" si="13"/>
        <v>2.029787818535135</v>
      </c>
      <c r="D179" s="9">
        <f t="shared" si="14"/>
        <v>-1.5515899917808218</v>
      </c>
      <c r="E179" s="9">
        <f t="shared" si="15"/>
        <v>15.870917550526318</v>
      </c>
      <c r="F179" s="9">
        <f t="shared" si="16"/>
        <v>7.7538495469999999E-4</v>
      </c>
      <c r="G179" s="9">
        <f t="shared" si="17"/>
        <v>16.349890762235333</v>
      </c>
      <c r="H179" s="10">
        <v>77</v>
      </c>
      <c r="I179" s="11">
        <f t="shared" si="18"/>
        <v>1.6349890762235332E-3</v>
      </c>
      <c r="J179" s="3"/>
      <c r="K179" s="3"/>
      <c r="L179" s="3"/>
      <c r="M179" s="3"/>
      <c r="N179" s="6"/>
      <c r="O179" s="12">
        <v>3.1555524909999999</v>
      </c>
      <c r="P179" s="12">
        <v>-2.8316517349999999</v>
      </c>
      <c r="Q179" s="12">
        <v>26.509664480000001</v>
      </c>
      <c r="R179" s="12">
        <v>7.7538495469999999E-4</v>
      </c>
      <c r="S179" s="12">
        <v>26.834340619999999</v>
      </c>
      <c r="T179" s="3"/>
      <c r="U179" s="3"/>
      <c r="V179" s="9">
        <v>0.64</v>
      </c>
      <c r="W179" s="9">
        <v>1</v>
      </c>
      <c r="X179" s="3"/>
      <c r="Y179" s="3"/>
      <c r="Z179" s="3"/>
    </row>
    <row r="180" spans="1:26" x14ac:dyDescent="0.25">
      <c r="A180" s="3"/>
      <c r="B180" s="3"/>
      <c r="C180" s="9">
        <f t="shared" si="13"/>
        <v>1.6873780380270269</v>
      </c>
      <c r="D180" s="9">
        <f t="shared" si="14"/>
        <v>-1.2803190038356163</v>
      </c>
      <c r="E180" s="9">
        <f t="shared" si="15"/>
        <v>13.139410476776318</v>
      </c>
      <c r="F180" s="9">
        <f t="shared" si="16"/>
        <v>7.8257778440000004E-4</v>
      </c>
      <c r="G180" s="9">
        <f t="shared" si="17"/>
        <v>13.547252088752129</v>
      </c>
      <c r="H180" s="10">
        <v>78</v>
      </c>
      <c r="I180" s="11">
        <f t="shared" si="18"/>
        <v>1.3547252088752129E-3</v>
      </c>
      <c r="J180" s="3"/>
      <c r="K180" s="3"/>
      <c r="L180" s="3"/>
      <c r="M180" s="3"/>
      <c r="N180" s="6"/>
      <c r="O180" s="12">
        <v>2.6232347649999999</v>
      </c>
      <c r="P180" s="12">
        <v>-2.3365821819999999</v>
      </c>
      <c r="Q180" s="12">
        <v>21.947147170000001</v>
      </c>
      <c r="R180" s="12">
        <v>7.8257778440000004E-4</v>
      </c>
      <c r="S180" s="12">
        <v>22.234582329999999</v>
      </c>
      <c r="T180" s="3"/>
      <c r="U180" s="3"/>
      <c r="V180" s="9">
        <v>0.64</v>
      </c>
      <c r="W180" s="9">
        <v>1</v>
      </c>
      <c r="X180" s="3"/>
      <c r="Y180" s="3"/>
      <c r="Z180" s="3"/>
    </row>
    <row r="181" spans="1:26" x14ac:dyDescent="0.25">
      <c r="A181" s="3"/>
      <c r="B181" s="3"/>
      <c r="C181" s="9">
        <f t="shared" si="13"/>
        <v>1.4168680671675677</v>
      </c>
      <c r="D181" s="9">
        <f t="shared" si="14"/>
        <v>-1.0659960104109589</v>
      </c>
      <c r="E181" s="9">
        <f t="shared" si="15"/>
        <v>10.974331789473686</v>
      </c>
      <c r="F181" s="9">
        <f t="shared" si="16"/>
        <v>7.6414921100000002E-4</v>
      </c>
      <c r="G181" s="9">
        <f t="shared" si="17"/>
        <v>11.325967995441294</v>
      </c>
      <c r="H181" s="10">
        <v>79</v>
      </c>
      <c r="I181" s="11">
        <f t="shared" si="18"/>
        <v>1.1325967995441295E-3</v>
      </c>
      <c r="J181" s="3"/>
      <c r="K181" s="3"/>
      <c r="L181" s="3"/>
      <c r="M181" s="3"/>
      <c r="N181" s="6"/>
      <c r="O181" s="12">
        <v>2.2026940540000002</v>
      </c>
      <c r="P181" s="12">
        <v>-1.9454427190000001</v>
      </c>
      <c r="Q181" s="12">
        <v>18.330752</v>
      </c>
      <c r="R181" s="12">
        <v>7.6414921100000002E-4</v>
      </c>
      <c r="S181" s="12">
        <v>18.588767480000001</v>
      </c>
      <c r="T181" s="3"/>
      <c r="U181" s="3"/>
      <c r="V181" s="9">
        <v>0.64</v>
      </c>
      <c r="W181" s="9">
        <v>1</v>
      </c>
      <c r="X181" s="3"/>
      <c r="Y181" s="3"/>
      <c r="Z181" s="3"/>
    </row>
    <row r="182" spans="1:26" x14ac:dyDescent="0.25">
      <c r="A182" s="3"/>
      <c r="B182" s="3"/>
      <c r="C182" s="9">
        <f t="shared" si="13"/>
        <v>1.2080776772324324</v>
      </c>
      <c r="D182" s="9">
        <f t="shared" si="14"/>
        <v>-0.90047746520547944</v>
      </c>
      <c r="E182" s="9">
        <f t="shared" si="15"/>
        <v>9.2955164874342113</v>
      </c>
      <c r="F182" s="9">
        <f t="shared" si="16"/>
        <v>7.2911439550000005E-4</v>
      </c>
      <c r="G182" s="9">
        <f t="shared" si="17"/>
        <v>9.6038458138566654</v>
      </c>
      <c r="H182" s="10">
        <v>80</v>
      </c>
      <c r="I182" s="11">
        <f t="shared" si="18"/>
        <v>9.603845813856665E-4</v>
      </c>
      <c r="J182" s="3"/>
      <c r="K182" s="3"/>
      <c r="L182" s="3"/>
      <c r="M182" s="3"/>
      <c r="N182" s="6"/>
      <c r="O182" s="12">
        <v>1.878103952</v>
      </c>
      <c r="P182" s="12">
        <v>-1.643371374</v>
      </c>
      <c r="Q182" s="12">
        <v>15.526576990000001</v>
      </c>
      <c r="R182" s="12">
        <v>7.2911439550000005E-4</v>
      </c>
      <c r="S182" s="12">
        <v>15.76203868</v>
      </c>
      <c r="T182" s="3"/>
      <c r="U182" s="3"/>
      <c r="V182" s="9">
        <v>0.64</v>
      </c>
      <c r="W182" s="9">
        <v>1</v>
      </c>
      <c r="X182" s="3"/>
      <c r="Y182" s="3"/>
      <c r="Z182" s="3"/>
    </row>
    <row r="183" spans="1:26" x14ac:dyDescent="0.25">
      <c r="A183" s="3"/>
      <c r="B183" s="3"/>
      <c r="C183" s="9">
        <f t="shared" si="13"/>
        <v>1.0415000794648648</v>
      </c>
      <c r="D183" s="9">
        <f t="shared" si="14"/>
        <v>-0.76821088986301367</v>
      </c>
      <c r="E183" s="9">
        <f t="shared" si="15"/>
        <v>7.9466376463157902</v>
      </c>
      <c r="F183" s="9">
        <f t="shared" si="16"/>
        <v>6.9065155999999996E-4</v>
      </c>
      <c r="G183" s="9">
        <f t="shared" si="17"/>
        <v>8.2206174874776412</v>
      </c>
      <c r="H183" s="10">
        <v>81</v>
      </c>
      <c r="I183" s="11">
        <f t="shared" si="18"/>
        <v>8.2206174874776411E-4</v>
      </c>
      <c r="J183" s="3"/>
      <c r="K183" s="3"/>
      <c r="L183" s="3"/>
      <c r="M183" s="3"/>
      <c r="N183" s="6"/>
      <c r="O183" s="12">
        <v>1.619138779</v>
      </c>
      <c r="P183" s="12">
        <v>-1.401984874</v>
      </c>
      <c r="Q183" s="12">
        <v>13.273504640000001</v>
      </c>
      <c r="R183" s="12">
        <v>6.9065155999999996E-4</v>
      </c>
      <c r="S183" s="12">
        <v>13.491349189999999</v>
      </c>
      <c r="T183" s="3"/>
      <c r="U183" s="3"/>
      <c r="V183" s="9">
        <v>0.64</v>
      </c>
      <c r="W183" s="9">
        <v>1</v>
      </c>
      <c r="X183" s="3"/>
      <c r="Y183" s="3"/>
      <c r="Z183" s="3"/>
    </row>
    <row r="184" spans="1:26" x14ac:dyDescent="0.25">
      <c r="A184" s="3"/>
      <c r="B184" s="3"/>
      <c r="C184" s="9">
        <f t="shared" si="13"/>
        <v>0.91071438250270265</v>
      </c>
      <c r="D184" s="9">
        <f t="shared" si="14"/>
        <v>-0.66405076219178072</v>
      </c>
      <c r="E184" s="9">
        <f t="shared" si="15"/>
        <v>6.8771011160526321</v>
      </c>
      <c r="F184" s="9">
        <f t="shared" si="16"/>
        <v>6.4659519690000002E-4</v>
      </c>
      <c r="G184" s="9">
        <f t="shared" si="17"/>
        <v>7.124411331560454</v>
      </c>
      <c r="H184" s="10">
        <v>82</v>
      </c>
      <c r="I184" s="11">
        <f t="shared" si="18"/>
        <v>7.124411331560454E-4</v>
      </c>
      <c r="J184" s="3"/>
      <c r="K184" s="3"/>
      <c r="L184" s="3"/>
      <c r="M184" s="3"/>
      <c r="N184" s="6"/>
      <c r="O184" s="12">
        <v>1.4158164769999999</v>
      </c>
      <c r="P184" s="12">
        <v>-1.2118926409999999</v>
      </c>
      <c r="Q184" s="12">
        <v>11.48702604</v>
      </c>
      <c r="R184" s="12">
        <v>6.4659519690000002E-4</v>
      </c>
      <c r="S184" s="12">
        <v>11.69159647</v>
      </c>
      <c r="T184" s="3"/>
      <c r="U184" s="3"/>
      <c r="V184" s="9">
        <v>0.64</v>
      </c>
      <c r="W184" s="9">
        <v>1</v>
      </c>
      <c r="X184" s="3"/>
      <c r="Y184" s="3"/>
      <c r="Z184" s="3"/>
    </row>
    <row r="185" spans="1:26" x14ac:dyDescent="0.25">
      <c r="A185" s="3"/>
      <c r="B185" s="3"/>
      <c r="C185" s="9">
        <f t="shared" si="13"/>
        <v>0.80294246540540537</v>
      </c>
      <c r="D185" s="9">
        <f t="shared" si="14"/>
        <v>-0.57771990410958907</v>
      </c>
      <c r="E185" s="9">
        <f t="shared" si="15"/>
        <v>5.9822493484342116</v>
      </c>
      <c r="F185" s="9">
        <f t="shared" si="16"/>
        <v>6.0555121559999995E-4</v>
      </c>
      <c r="G185" s="9">
        <f t="shared" si="17"/>
        <v>6.2080774609456277</v>
      </c>
      <c r="H185" s="10">
        <v>83</v>
      </c>
      <c r="I185" s="11">
        <f t="shared" si="18"/>
        <v>6.2080774609456278E-4</v>
      </c>
      <c r="J185" s="3"/>
      <c r="K185" s="3"/>
      <c r="L185" s="3"/>
      <c r="M185" s="3"/>
      <c r="N185" s="6"/>
      <c r="O185" s="12">
        <v>1.2482719</v>
      </c>
      <c r="P185" s="12">
        <v>-1.0543388250000001</v>
      </c>
      <c r="Q185" s="12">
        <v>9.9923285820000007</v>
      </c>
      <c r="R185" s="12">
        <v>6.0555121559999995E-4</v>
      </c>
      <c r="S185" s="12">
        <v>10.186867210000001</v>
      </c>
      <c r="T185" s="3"/>
      <c r="U185" s="3"/>
      <c r="V185" s="9">
        <v>0.64</v>
      </c>
      <c r="W185" s="9">
        <v>1</v>
      </c>
      <c r="X185" s="3"/>
      <c r="Y185" s="3"/>
      <c r="Z185" s="3"/>
    </row>
    <row r="186" spans="1:26" x14ac:dyDescent="0.25">
      <c r="A186" s="3"/>
      <c r="B186" s="3"/>
      <c r="C186" s="9">
        <f t="shared" si="13"/>
        <v>0.71495420825405409</v>
      </c>
      <c r="D186" s="9">
        <f t="shared" si="14"/>
        <v>-0.5065172577534246</v>
      </c>
      <c r="E186" s="9">
        <f t="shared" si="15"/>
        <v>5.2348170132631582</v>
      </c>
      <c r="F186" s="9">
        <f t="shared" si="16"/>
        <v>5.6666231189999997E-4</v>
      </c>
      <c r="G186" s="9">
        <f t="shared" si="17"/>
        <v>5.443820626075687</v>
      </c>
      <c r="H186" s="10">
        <v>84</v>
      </c>
      <c r="I186" s="11">
        <f t="shared" si="18"/>
        <v>5.443820626075687E-4</v>
      </c>
      <c r="J186" s="3"/>
      <c r="K186" s="3"/>
      <c r="L186" s="3"/>
      <c r="M186" s="3"/>
      <c r="N186" s="6"/>
      <c r="O186" s="12">
        <v>1.1114834330000001</v>
      </c>
      <c r="P186" s="12">
        <v>-0.9243939954</v>
      </c>
      <c r="Q186" s="12">
        <v>8.7438701759999997</v>
      </c>
      <c r="R186" s="12">
        <v>5.6666231189999997E-4</v>
      </c>
      <c r="S186" s="12">
        <v>8.9315262759999996</v>
      </c>
      <c r="T186" s="3"/>
      <c r="U186" s="3"/>
      <c r="V186" s="9">
        <v>0.64</v>
      </c>
      <c r="W186" s="9">
        <v>1</v>
      </c>
      <c r="X186" s="3"/>
      <c r="Y186" s="3"/>
      <c r="Z186" s="3"/>
    </row>
    <row r="187" spans="1:26" x14ac:dyDescent="0.25">
      <c r="A187" s="3"/>
      <c r="B187" s="3"/>
      <c r="C187" s="9">
        <f t="shared" si="13"/>
        <v>0.6437280280162162</v>
      </c>
      <c r="D187" s="9">
        <f t="shared" si="14"/>
        <v>-0.44782452389041094</v>
      </c>
      <c r="E187" s="9">
        <f t="shared" si="15"/>
        <v>4.6075438649671057</v>
      </c>
      <c r="F187" s="9">
        <f t="shared" si="16"/>
        <v>5.2989189250000001E-4</v>
      </c>
      <c r="G187" s="9">
        <f t="shared" si="17"/>
        <v>4.8039772609854108</v>
      </c>
      <c r="H187" s="10">
        <v>85</v>
      </c>
      <c r="I187" s="11">
        <f t="shared" si="18"/>
        <v>4.8039772609854108E-4</v>
      </c>
      <c r="J187" s="3"/>
      <c r="K187" s="3"/>
      <c r="L187" s="3"/>
      <c r="M187" s="3"/>
      <c r="N187" s="6"/>
      <c r="O187" s="12">
        <v>1.000753657</v>
      </c>
      <c r="P187" s="12">
        <v>-0.81727975610000003</v>
      </c>
      <c r="Q187" s="12">
        <v>7.6961172250000001</v>
      </c>
      <c r="R187" s="12">
        <v>5.2989189250000001E-4</v>
      </c>
      <c r="S187" s="12">
        <v>7.8801210179999996</v>
      </c>
      <c r="T187" s="3"/>
      <c r="U187" s="3"/>
      <c r="V187" s="9">
        <v>0.64</v>
      </c>
      <c r="W187" s="9">
        <v>1</v>
      </c>
      <c r="X187" s="3"/>
      <c r="Y187" s="3"/>
      <c r="Z187" s="3"/>
    </row>
    <row r="188" spans="1:26" x14ac:dyDescent="0.25">
      <c r="A188" s="3"/>
      <c r="B188" s="3"/>
      <c r="C188" s="9">
        <f t="shared" si="13"/>
        <v>0.58306272276756754</v>
      </c>
      <c r="D188" s="9">
        <f t="shared" si="14"/>
        <v>-0.39630030246575337</v>
      </c>
      <c r="E188" s="9">
        <f t="shared" si="15"/>
        <v>4.0434346021447372</v>
      </c>
      <c r="F188" s="9">
        <f t="shared" si="16"/>
        <v>4.905984319E-4</v>
      </c>
      <c r="G188" s="9">
        <f t="shared" si="17"/>
        <v>4.2306876208784514</v>
      </c>
      <c r="H188" s="10">
        <v>86</v>
      </c>
      <c r="I188" s="11">
        <f t="shared" si="18"/>
        <v>4.2306876208784516E-4</v>
      </c>
      <c r="J188" s="3"/>
      <c r="K188" s="3"/>
      <c r="L188" s="3"/>
      <c r="M188" s="3"/>
      <c r="N188" s="6"/>
      <c r="O188" s="12">
        <v>0.90644204799999994</v>
      </c>
      <c r="P188" s="12">
        <v>-0.72324805199999997</v>
      </c>
      <c r="Q188" s="12">
        <v>6.753868786</v>
      </c>
      <c r="R188" s="12">
        <v>4.905984319E-4</v>
      </c>
      <c r="S188" s="12">
        <v>6.9375533809999999</v>
      </c>
      <c r="T188" s="3"/>
      <c r="U188" s="3"/>
      <c r="V188" s="9">
        <v>0.64</v>
      </c>
      <c r="W188" s="9">
        <v>1</v>
      </c>
      <c r="X188" s="3"/>
      <c r="Y188" s="3"/>
      <c r="Z188" s="3"/>
    </row>
    <row r="189" spans="1:26" x14ac:dyDescent="0.25">
      <c r="A189" s="3"/>
      <c r="B189" s="3"/>
      <c r="C189" s="9">
        <f t="shared" si="13"/>
        <v>0.53600011782648649</v>
      </c>
      <c r="D189" s="9">
        <f t="shared" si="14"/>
        <v>-0.35415081682191779</v>
      </c>
      <c r="E189" s="9">
        <f t="shared" si="15"/>
        <v>3.5660364799868423</v>
      </c>
      <c r="F189" s="9">
        <f t="shared" si="16"/>
        <v>4.558164561E-4</v>
      </c>
      <c r="G189" s="9">
        <f t="shared" si="17"/>
        <v>3.7483415974475109</v>
      </c>
      <c r="H189" s="10">
        <v>87</v>
      </c>
      <c r="I189" s="11">
        <f t="shared" si="18"/>
        <v>3.7483415974475111E-4</v>
      </c>
      <c r="J189" s="3"/>
      <c r="K189" s="3"/>
      <c r="L189" s="3"/>
      <c r="M189" s="3"/>
      <c r="N189" s="6"/>
      <c r="O189" s="12">
        <v>0.83327749409999996</v>
      </c>
      <c r="P189" s="12">
        <v>-0.64632524069999997</v>
      </c>
      <c r="Q189" s="12">
        <v>5.9564565380000003</v>
      </c>
      <c r="R189" s="12">
        <v>4.558164561E-4</v>
      </c>
      <c r="S189" s="12">
        <v>6.1438646080000003</v>
      </c>
      <c r="T189" s="3"/>
      <c r="U189" s="3"/>
      <c r="V189" s="9">
        <v>0.64</v>
      </c>
      <c r="W189" s="9">
        <v>1</v>
      </c>
      <c r="X189" s="3"/>
      <c r="Y189" s="3"/>
      <c r="Z189" s="3"/>
    </row>
    <row r="190" spans="1:26" x14ac:dyDescent="0.25">
      <c r="A190" s="3"/>
      <c r="B190" s="3"/>
      <c r="C190" s="9">
        <f t="shared" si="13"/>
        <v>0.49708792741243241</v>
      </c>
      <c r="D190" s="9">
        <f t="shared" si="14"/>
        <v>-0.3161501591780822</v>
      </c>
      <c r="E190" s="9">
        <f t="shared" si="15"/>
        <v>3.1163395199539479</v>
      </c>
      <c r="F190" s="9">
        <f t="shared" si="16"/>
        <v>4.2210554519999999E-4</v>
      </c>
      <c r="G190" s="9">
        <f t="shared" si="17"/>
        <v>3.297699393733498</v>
      </c>
      <c r="H190" s="10">
        <v>88</v>
      </c>
      <c r="I190" s="11">
        <f t="shared" si="18"/>
        <v>3.2976993937334977E-4</v>
      </c>
      <c r="J190" s="3"/>
      <c r="K190" s="3"/>
      <c r="L190" s="3"/>
      <c r="M190" s="3"/>
      <c r="N190" s="6"/>
      <c r="O190" s="12">
        <v>0.77278375269999999</v>
      </c>
      <c r="P190" s="12">
        <v>-0.57697404050000001</v>
      </c>
      <c r="Q190" s="12">
        <v>5.2053143630000003</v>
      </c>
      <c r="R190" s="12">
        <v>4.2210554519999999E-4</v>
      </c>
      <c r="S190" s="12">
        <v>5.4015461809999996</v>
      </c>
      <c r="T190" s="3"/>
      <c r="U190" s="3"/>
      <c r="V190" s="9">
        <v>0.64</v>
      </c>
      <c r="W190" s="9">
        <v>1</v>
      </c>
      <c r="X190" s="3"/>
      <c r="Y190" s="3"/>
      <c r="Z190" s="3"/>
    </row>
    <row r="191" spans="1:26" x14ac:dyDescent="0.25">
      <c r="A191" s="3"/>
      <c r="B191" s="3"/>
      <c r="C191" s="9">
        <f t="shared" si="13"/>
        <v>0.46903776374378381</v>
      </c>
      <c r="D191" s="9">
        <f t="shared" si="14"/>
        <v>-0.28425976460273972</v>
      </c>
      <c r="E191" s="9">
        <f t="shared" si="15"/>
        <v>2.7160076496184216</v>
      </c>
      <c r="F191" s="9">
        <f t="shared" si="16"/>
        <v>3.9232749620000002E-4</v>
      </c>
      <c r="G191" s="9">
        <f t="shared" si="17"/>
        <v>2.9011779762556658</v>
      </c>
      <c r="H191" s="10">
        <v>89</v>
      </c>
      <c r="I191" s="11">
        <f t="shared" si="18"/>
        <v>2.9011779762556656E-4</v>
      </c>
      <c r="J191" s="3"/>
      <c r="K191" s="3"/>
      <c r="L191" s="3"/>
      <c r="M191" s="3"/>
      <c r="N191" s="6"/>
      <c r="O191" s="12">
        <v>0.72917635540000003</v>
      </c>
      <c r="P191" s="12">
        <v>-0.51877407040000001</v>
      </c>
      <c r="Q191" s="12">
        <v>4.5366281620000004</v>
      </c>
      <c r="R191" s="12">
        <v>3.9232749620000002E-4</v>
      </c>
      <c r="S191" s="12">
        <v>4.7474227750000004</v>
      </c>
      <c r="T191" s="3"/>
      <c r="U191" s="3"/>
      <c r="V191" s="9">
        <v>0.64</v>
      </c>
      <c r="W191" s="9">
        <v>1</v>
      </c>
      <c r="X191" s="3"/>
      <c r="Y191" s="3"/>
      <c r="Z191" s="3"/>
    </row>
    <row r="192" spans="1:26" x14ac:dyDescent="0.25">
      <c r="A192" s="3"/>
      <c r="B192" s="3"/>
      <c r="C192" s="9">
        <f t="shared" si="13"/>
        <v>0.45208898567189187</v>
      </c>
      <c r="D192" s="9">
        <f t="shared" si="14"/>
        <v>-0.25779760936986301</v>
      </c>
      <c r="E192" s="9">
        <f t="shared" si="15"/>
        <v>2.3544799968881578</v>
      </c>
      <c r="F192" s="9">
        <f t="shared" si="16"/>
        <v>3.6861567159999999E-4</v>
      </c>
      <c r="G192" s="9">
        <f t="shared" si="17"/>
        <v>2.5491399888617865</v>
      </c>
      <c r="H192" s="10">
        <v>90</v>
      </c>
      <c r="I192" s="11">
        <f t="shared" si="18"/>
        <v>2.5491399888617864E-4</v>
      </c>
      <c r="J192" s="3"/>
      <c r="K192" s="3"/>
      <c r="L192" s="3"/>
      <c r="M192" s="3"/>
      <c r="N192" s="6"/>
      <c r="O192" s="12">
        <v>0.70282741469999999</v>
      </c>
      <c r="P192" s="12">
        <v>-0.47048063709999999</v>
      </c>
      <c r="Q192" s="12">
        <v>3.9327577969999998</v>
      </c>
      <c r="R192" s="12">
        <v>3.6861567159999999E-4</v>
      </c>
      <c r="S192" s="12">
        <v>4.1654731900000002</v>
      </c>
      <c r="T192" s="3"/>
      <c r="U192" s="3"/>
      <c r="V192" s="9">
        <v>0.64</v>
      </c>
      <c r="W192" s="9">
        <v>1</v>
      </c>
      <c r="X192" s="3"/>
      <c r="Y192" s="3"/>
      <c r="Z192" s="3"/>
    </row>
    <row r="193" spans="1:26" x14ac:dyDescent="0.25">
      <c r="A193" s="3"/>
      <c r="B193" s="3"/>
      <c r="C193" s="9">
        <f t="shared" si="13"/>
        <v>0.44591637224324321</v>
      </c>
      <c r="D193" s="9">
        <f t="shared" si="14"/>
        <v>-0.23575550942465753</v>
      </c>
      <c r="E193" s="9">
        <f t="shared" si="15"/>
        <v>2.0181610246644737</v>
      </c>
      <c r="F193" s="9">
        <f t="shared" si="16"/>
        <v>3.493430388E-4</v>
      </c>
      <c r="G193" s="9">
        <f t="shared" si="17"/>
        <v>2.2286712305218592</v>
      </c>
      <c r="H193" s="10">
        <v>91</v>
      </c>
      <c r="I193" s="11">
        <f t="shared" si="18"/>
        <v>2.2286712305218592E-4</v>
      </c>
      <c r="J193" s="3"/>
      <c r="K193" s="3"/>
      <c r="L193" s="3"/>
      <c r="M193" s="3"/>
      <c r="N193" s="6"/>
      <c r="O193" s="12">
        <v>0.693231335</v>
      </c>
      <c r="P193" s="12">
        <v>-0.43025380470000002</v>
      </c>
      <c r="Q193" s="12">
        <v>3.3709942389999998</v>
      </c>
      <c r="R193" s="12">
        <v>3.493430388E-4</v>
      </c>
      <c r="S193" s="12">
        <v>3.6343211129999999</v>
      </c>
      <c r="T193" s="3"/>
      <c r="U193" s="3"/>
      <c r="V193" s="9">
        <v>0.64</v>
      </c>
      <c r="W193" s="9">
        <v>1</v>
      </c>
      <c r="X193" s="3"/>
      <c r="Y193" s="3"/>
      <c r="Z193" s="3"/>
    </row>
    <row r="194" spans="1:26" x14ac:dyDescent="0.25">
      <c r="A194" s="3"/>
      <c r="B194" s="3"/>
      <c r="C194" s="9">
        <f t="shared" si="13"/>
        <v>0.45234387524540537</v>
      </c>
      <c r="D194" s="9">
        <f t="shared" si="14"/>
        <v>-0.21996987304109589</v>
      </c>
      <c r="E194" s="9">
        <f t="shared" si="15"/>
        <v>1.7304761630855265</v>
      </c>
      <c r="F194" s="9">
        <f t="shared" si="16"/>
        <v>3.3773375280000002E-4</v>
      </c>
      <c r="G194" s="9">
        <f t="shared" si="17"/>
        <v>1.9631878990426361</v>
      </c>
      <c r="H194" s="10">
        <v>92</v>
      </c>
      <c r="I194" s="11">
        <f t="shared" si="18"/>
        <v>1.9631878990426362E-4</v>
      </c>
      <c r="J194" s="3"/>
      <c r="K194" s="3"/>
      <c r="L194" s="3"/>
      <c r="M194" s="3"/>
      <c r="N194" s="6"/>
      <c r="O194" s="12">
        <v>0.70322367159999999</v>
      </c>
      <c r="P194" s="12">
        <v>-0.40144501830000001</v>
      </c>
      <c r="Q194" s="12">
        <v>2.8904656790000001</v>
      </c>
      <c r="R194" s="12">
        <v>3.3773375280000002E-4</v>
      </c>
      <c r="S194" s="12">
        <v>3.1925820659999999</v>
      </c>
      <c r="T194" s="3"/>
      <c r="U194" s="3"/>
      <c r="V194" s="9">
        <v>0.64</v>
      </c>
      <c r="W194" s="9">
        <v>1</v>
      </c>
      <c r="X194" s="3"/>
      <c r="Y194" s="3"/>
      <c r="Z194" s="3"/>
    </row>
    <row r="195" spans="1:26" x14ac:dyDescent="0.25">
      <c r="A195" s="3"/>
      <c r="B195" s="3"/>
      <c r="C195" s="9">
        <f t="shared" ref="C195:C202" si="19">($B$3/185)*O195</f>
        <v>0.4703480683697297</v>
      </c>
      <c r="D195" s="9">
        <f t="shared" ref="D195:D202" si="20">($B$4/(-146))*P195</f>
        <v>-0.20970842624657532</v>
      </c>
      <c r="E195" s="9">
        <f t="shared" ref="E195:E202" si="21">($B$5/152)*Q195</f>
        <v>1.4845585485592105</v>
      </c>
      <c r="F195" s="9">
        <f t="shared" ref="F195:F202" si="22">R195</f>
        <v>3.3363941970000001E-4</v>
      </c>
      <c r="G195" s="9">
        <f t="shared" ref="G195:G202" si="23">SUM(C195:F195)</f>
        <v>1.7455318301020648</v>
      </c>
      <c r="H195" s="10">
        <v>93</v>
      </c>
      <c r="I195" s="11">
        <f t="shared" ref="I195:I202" si="24">G195/10000</f>
        <v>1.7455318301020647E-4</v>
      </c>
      <c r="J195" s="3"/>
      <c r="K195" s="3"/>
      <c r="L195" s="3"/>
      <c r="M195" s="3"/>
      <c r="N195" s="6"/>
      <c r="O195" s="12">
        <v>0.73121338359999999</v>
      </c>
      <c r="P195" s="12">
        <v>-0.3827178779</v>
      </c>
      <c r="Q195" s="12">
        <v>2.4797021909999999</v>
      </c>
      <c r="R195" s="12">
        <v>3.3363941970000001E-4</v>
      </c>
      <c r="S195" s="12">
        <v>2.8285313360000002</v>
      </c>
      <c r="T195" s="3"/>
      <c r="U195" s="3"/>
      <c r="V195" s="9">
        <v>0.64</v>
      </c>
      <c r="W195" s="9">
        <v>1</v>
      </c>
      <c r="X195" s="3"/>
      <c r="Y195" s="3"/>
      <c r="Z195" s="3"/>
    </row>
    <row r="196" spans="1:26" x14ac:dyDescent="0.25">
      <c r="A196" s="3"/>
      <c r="B196" s="3"/>
      <c r="C196" s="9">
        <f t="shared" si="19"/>
        <v>0.49657145133135133</v>
      </c>
      <c r="D196" s="9">
        <f t="shared" si="20"/>
        <v>-0.20488892493150684</v>
      </c>
      <c r="E196" s="9">
        <f t="shared" si="21"/>
        <v>1.2937150260723684</v>
      </c>
      <c r="F196" s="9">
        <f t="shared" si="22"/>
        <v>3.3673967160000002E-4</v>
      </c>
      <c r="G196" s="9">
        <f t="shared" si="23"/>
        <v>1.5857342921438129</v>
      </c>
      <c r="H196" s="10">
        <v>94</v>
      </c>
      <c r="I196" s="11">
        <f t="shared" si="24"/>
        <v>1.5857342921438128E-4</v>
      </c>
      <c r="J196" s="3"/>
      <c r="K196" s="3"/>
      <c r="L196" s="3"/>
      <c r="M196" s="3"/>
      <c r="N196" s="6"/>
      <c r="O196" s="12">
        <v>0.77198082769999998</v>
      </c>
      <c r="P196" s="12">
        <v>-0.37392228799999999</v>
      </c>
      <c r="Q196" s="12">
        <v>2.1609305929999998</v>
      </c>
      <c r="R196" s="12">
        <v>3.3673967160000002E-4</v>
      </c>
      <c r="S196" s="12">
        <v>2.5593258720000001</v>
      </c>
      <c r="T196" s="3"/>
      <c r="U196" s="3"/>
      <c r="V196" s="9">
        <v>0.64</v>
      </c>
      <c r="W196" s="9">
        <v>1</v>
      </c>
      <c r="X196" s="3"/>
      <c r="Y196" s="3"/>
      <c r="Z196" s="3"/>
    </row>
    <row r="197" spans="1:26" x14ac:dyDescent="0.25">
      <c r="A197" s="3"/>
      <c r="B197" s="3"/>
      <c r="C197" s="9">
        <f t="shared" si="19"/>
        <v>0.52894420483459459</v>
      </c>
      <c r="D197" s="9">
        <f t="shared" si="20"/>
        <v>-0.20395269791780823</v>
      </c>
      <c r="E197" s="9">
        <f t="shared" si="21"/>
        <v>1.1411399263618422</v>
      </c>
      <c r="F197" s="9">
        <f t="shared" si="22"/>
        <v>3.4624656070000003E-4</v>
      </c>
      <c r="G197" s="9">
        <f t="shared" si="23"/>
        <v>1.4664776798393286</v>
      </c>
      <c r="H197" s="10">
        <v>95</v>
      </c>
      <c r="I197" s="11">
        <f t="shared" si="24"/>
        <v>1.4664776798393287E-4</v>
      </c>
      <c r="J197" s="3"/>
      <c r="K197" s="3"/>
      <c r="L197" s="3"/>
      <c r="M197" s="3"/>
      <c r="N197" s="6"/>
      <c r="O197" s="12">
        <v>0.82230821759999995</v>
      </c>
      <c r="P197" s="12">
        <v>-0.37221367370000003</v>
      </c>
      <c r="Q197" s="12">
        <v>1.906079877</v>
      </c>
      <c r="R197" s="12">
        <v>3.4624656070000003E-4</v>
      </c>
      <c r="S197" s="12">
        <v>2.3565206679999999</v>
      </c>
      <c r="T197" s="3"/>
      <c r="U197" s="3"/>
      <c r="V197" s="9">
        <v>0.64</v>
      </c>
      <c r="W197" s="9">
        <v>1</v>
      </c>
      <c r="X197" s="3"/>
      <c r="Y197" s="3"/>
      <c r="Z197" s="3"/>
    </row>
    <row r="198" spans="1:26" x14ac:dyDescent="0.25">
      <c r="A198" s="3"/>
      <c r="B198" s="3"/>
      <c r="C198" s="9">
        <f t="shared" si="19"/>
        <v>0.56302936029729733</v>
      </c>
      <c r="D198" s="9">
        <f t="shared" si="20"/>
        <v>-0.20587468306849313</v>
      </c>
      <c r="E198" s="9">
        <f t="shared" si="21"/>
        <v>1.0287608156184211</v>
      </c>
      <c r="F198" s="9">
        <f t="shared" si="22"/>
        <v>3.6042072660000002E-4</v>
      </c>
      <c r="G198" s="9">
        <f t="shared" si="23"/>
        <v>1.3862759135738254</v>
      </c>
      <c r="H198" s="10">
        <v>96</v>
      </c>
      <c r="I198" s="11">
        <f t="shared" si="24"/>
        <v>1.3862759135738255E-4</v>
      </c>
      <c r="J198" s="3"/>
      <c r="K198" s="3"/>
      <c r="L198" s="3"/>
      <c r="M198" s="3"/>
      <c r="N198" s="6"/>
      <c r="O198" s="12">
        <v>0.87529774500000002</v>
      </c>
      <c r="P198" s="12">
        <v>-0.37572129659999998</v>
      </c>
      <c r="Q198" s="12">
        <v>1.718369714</v>
      </c>
      <c r="R198" s="12">
        <v>3.6042072660000002E-4</v>
      </c>
      <c r="S198" s="12">
        <v>2.2183065829999999</v>
      </c>
      <c r="T198" s="3"/>
      <c r="U198" s="3"/>
      <c r="V198" s="9">
        <v>0.64</v>
      </c>
      <c r="W198" s="9">
        <v>1</v>
      </c>
      <c r="X198" s="3"/>
      <c r="Y198" s="3"/>
      <c r="Z198" s="3"/>
    </row>
    <row r="199" spans="1:26" x14ac:dyDescent="0.25">
      <c r="A199" s="3"/>
      <c r="B199" s="3"/>
      <c r="C199" s="9">
        <f t="shared" si="19"/>
        <v>0.59537198634540545</v>
      </c>
      <c r="D199" s="9">
        <f t="shared" si="20"/>
        <v>-0.2092250832328767</v>
      </c>
      <c r="E199" s="9">
        <f t="shared" si="21"/>
        <v>0.94762795340131589</v>
      </c>
      <c r="F199" s="9">
        <f t="shared" si="22"/>
        <v>3.7934054539999999E-4</v>
      </c>
      <c r="G199" s="9">
        <f t="shared" si="23"/>
        <v>1.3341541970592448</v>
      </c>
      <c r="H199" s="10">
        <v>97</v>
      </c>
      <c r="I199" s="11">
        <f t="shared" si="24"/>
        <v>1.3341541970592448E-4</v>
      </c>
      <c r="J199" s="3"/>
      <c r="K199" s="3"/>
      <c r="L199" s="3"/>
      <c r="M199" s="3"/>
      <c r="N199" s="6"/>
      <c r="O199" s="12">
        <v>0.92557829810000003</v>
      </c>
      <c r="P199" s="12">
        <v>-0.38183577689999998</v>
      </c>
      <c r="Q199" s="12">
        <v>1.5828510870000001</v>
      </c>
      <c r="R199" s="12">
        <v>3.7934054539999999E-4</v>
      </c>
      <c r="S199" s="12">
        <v>2.1269729489999998</v>
      </c>
      <c r="T199" s="3"/>
      <c r="U199" s="3"/>
      <c r="V199" s="9">
        <v>0.64</v>
      </c>
      <c r="W199" s="9">
        <v>1</v>
      </c>
      <c r="X199" s="3"/>
      <c r="Y199" s="3"/>
      <c r="Z199" s="3"/>
    </row>
    <row r="200" spans="1:26" x14ac:dyDescent="0.25">
      <c r="A200" s="3"/>
      <c r="B200" s="3"/>
      <c r="C200" s="9">
        <f t="shared" si="19"/>
        <v>0.62274749237891891</v>
      </c>
      <c r="D200" s="9">
        <f t="shared" si="20"/>
        <v>-0.21278532082191781</v>
      </c>
      <c r="E200" s="9">
        <f t="shared" si="21"/>
        <v>0.89124564955263152</v>
      </c>
      <c r="F200" s="9">
        <f t="shared" si="22"/>
        <v>3.9830471699999999E-4</v>
      </c>
      <c r="G200" s="9">
        <f t="shared" si="23"/>
        <v>1.3016061258266325</v>
      </c>
      <c r="H200" s="10">
        <v>98</v>
      </c>
      <c r="I200" s="11">
        <f t="shared" si="24"/>
        <v>1.3016061258266324E-4</v>
      </c>
      <c r="J200" s="3"/>
      <c r="K200" s="3"/>
      <c r="L200" s="3"/>
      <c r="M200" s="3"/>
      <c r="N200" s="6"/>
      <c r="O200" s="12">
        <v>0.96813685790000004</v>
      </c>
      <c r="P200" s="12">
        <v>-0.38833321050000003</v>
      </c>
      <c r="Q200" s="12">
        <v>1.4886740519999999</v>
      </c>
      <c r="R200" s="12">
        <v>3.9830471699999999E-4</v>
      </c>
      <c r="S200" s="12">
        <v>2.0688760039999998</v>
      </c>
      <c r="T200" s="3"/>
      <c r="U200" s="3"/>
      <c r="V200" s="9">
        <v>0.64</v>
      </c>
      <c r="W200" s="9">
        <v>1</v>
      </c>
      <c r="X200" s="3"/>
      <c r="Y200" s="3"/>
      <c r="Z200" s="3"/>
    </row>
    <row r="201" spans="1:26" x14ac:dyDescent="0.25">
      <c r="A201" s="3"/>
      <c r="B201" s="3"/>
      <c r="C201" s="9">
        <f t="shared" si="19"/>
        <v>0.64446667581081074</v>
      </c>
      <c r="D201" s="9">
        <f t="shared" si="20"/>
        <v>-0.21587174246575341</v>
      </c>
      <c r="E201" s="9">
        <f t="shared" si="21"/>
        <v>0.85127863694078953</v>
      </c>
      <c r="F201" s="9">
        <f t="shared" si="22"/>
        <v>4.163739517E-4</v>
      </c>
      <c r="G201" s="9">
        <f t="shared" si="23"/>
        <v>1.2802899442375468</v>
      </c>
      <c r="H201" s="10">
        <v>99</v>
      </c>
      <c r="I201" s="11">
        <f t="shared" si="24"/>
        <v>1.2802899442375469E-4</v>
      </c>
      <c r="J201" s="3"/>
      <c r="K201" s="3"/>
      <c r="L201" s="3"/>
      <c r="M201" s="3"/>
      <c r="N201" s="6"/>
      <c r="O201" s="12">
        <v>1.001901975</v>
      </c>
      <c r="P201" s="12">
        <v>-0.39396593000000002</v>
      </c>
      <c r="Q201" s="12">
        <v>1.4219159649999999</v>
      </c>
      <c r="R201" s="12">
        <v>4.163739517E-4</v>
      </c>
      <c r="S201" s="12">
        <v>2.0302683849999998</v>
      </c>
      <c r="T201" s="3"/>
      <c r="U201" s="3"/>
      <c r="V201" s="9">
        <v>0.64</v>
      </c>
      <c r="W201" s="9">
        <v>1</v>
      </c>
      <c r="X201" s="3"/>
      <c r="Y201" s="3"/>
      <c r="Z201" s="3"/>
    </row>
    <row r="202" spans="1:26" x14ac:dyDescent="0.25">
      <c r="A202" s="3"/>
      <c r="B202" s="3"/>
      <c r="C202" s="9">
        <f t="shared" si="19"/>
        <v>0.66027561868648654</v>
      </c>
      <c r="D202" s="9">
        <f t="shared" si="20"/>
        <v>-0.21807063216438355</v>
      </c>
      <c r="E202" s="9">
        <f t="shared" si="21"/>
        <v>0.82201849394736848</v>
      </c>
      <c r="F202" s="9">
        <f t="shared" si="22"/>
        <v>4.3256662270000002E-4</v>
      </c>
      <c r="G202" s="9">
        <f t="shared" si="23"/>
        <v>1.2646560470921715</v>
      </c>
      <c r="H202" s="10">
        <v>100</v>
      </c>
      <c r="I202" s="11">
        <f t="shared" si="24"/>
        <v>1.2646560470921714E-4</v>
      </c>
      <c r="J202" s="3"/>
      <c r="K202" s="3"/>
      <c r="L202" s="3"/>
      <c r="M202" s="3"/>
      <c r="N202" s="6"/>
      <c r="O202" s="12">
        <v>1.0264789030000001</v>
      </c>
      <c r="P202" s="12">
        <v>-0.3979789037</v>
      </c>
      <c r="Q202" s="12">
        <v>1.3730418799999999</v>
      </c>
      <c r="R202" s="12">
        <v>4.3256662270000002E-4</v>
      </c>
      <c r="S202" s="12">
        <v>2.0019744460000002</v>
      </c>
      <c r="T202" s="3"/>
      <c r="U202" s="3"/>
      <c r="V202" s="9">
        <v>0.64</v>
      </c>
      <c r="W202" s="9">
        <v>1</v>
      </c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18"/>
      <c r="J203" s="3"/>
      <c r="K203" s="3"/>
      <c r="L203" s="3"/>
      <c r="M203" s="3"/>
      <c r="N203" s="6"/>
      <c r="O203" s="6"/>
      <c r="P203" s="6"/>
      <c r="Q203" s="6"/>
      <c r="R203" s="6"/>
      <c r="S203" s="6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18"/>
      <c r="J204" s="3"/>
      <c r="K204" s="3"/>
      <c r="L204" s="3"/>
      <c r="M204" s="3"/>
      <c r="N204" s="6"/>
      <c r="O204" s="6"/>
      <c r="P204" s="6"/>
      <c r="Q204" s="6"/>
      <c r="R204" s="6"/>
      <c r="S204" s="6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18"/>
      <c r="J205" s="3"/>
      <c r="K205" s="3"/>
      <c r="L205" s="3"/>
      <c r="M205" s="3"/>
      <c r="N205" s="6"/>
      <c r="O205" s="6"/>
      <c r="P205" s="6"/>
      <c r="Q205" s="6"/>
      <c r="R205" s="6"/>
      <c r="S205" s="6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18"/>
      <c r="J206" s="3"/>
      <c r="K206" s="3"/>
      <c r="L206" s="3"/>
      <c r="M206" s="3"/>
      <c r="N206" s="6"/>
      <c r="O206" s="6"/>
      <c r="P206" s="6"/>
      <c r="Q206" s="6"/>
      <c r="R206" s="6"/>
      <c r="S206" s="6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18"/>
      <c r="J207" s="3"/>
      <c r="K207" s="3"/>
      <c r="L207" s="3"/>
      <c r="M207" s="3"/>
      <c r="N207" s="6"/>
      <c r="O207" s="6"/>
      <c r="P207" s="6"/>
      <c r="Q207" s="6"/>
      <c r="R207" s="6"/>
      <c r="S207" s="6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18"/>
      <c r="J208" s="3"/>
      <c r="K208" s="3"/>
      <c r="L208" s="3"/>
      <c r="M208" s="3"/>
      <c r="N208" s="6"/>
      <c r="O208" s="6"/>
      <c r="P208" s="6"/>
      <c r="Q208" s="6"/>
      <c r="R208" s="6"/>
      <c r="S208" s="6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18"/>
      <c r="J209" s="3"/>
      <c r="K209" s="3"/>
      <c r="L209" s="3"/>
      <c r="M209" s="3"/>
      <c r="N209" s="6"/>
      <c r="O209" s="6"/>
      <c r="P209" s="6"/>
      <c r="Q209" s="6"/>
      <c r="R209" s="6"/>
      <c r="S209" s="6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18"/>
      <c r="J210" s="3"/>
      <c r="K210" s="3"/>
      <c r="L210" s="3"/>
      <c r="M210" s="3"/>
      <c r="N210" s="6"/>
      <c r="O210" s="6"/>
      <c r="P210" s="6"/>
      <c r="Q210" s="6"/>
      <c r="R210" s="6"/>
      <c r="S210" s="6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18"/>
      <c r="J211" s="3"/>
      <c r="K211" s="3"/>
      <c r="L211" s="3"/>
      <c r="M211" s="3"/>
      <c r="N211" s="6"/>
      <c r="O211" s="6"/>
      <c r="P211" s="6"/>
      <c r="Q211" s="6"/>
      <c r="R211" s="6"/>
      <c r="S211" s="6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18"/>
      <c r="J212" s="3"/>
      <c r="K212" s="3"/>
      <c r="L212" s="3"/>
      <c r="M212" s="3"/>
      <c r="N212" s="6"/>
      <c r="O212" s="6"/>
      <c r="P212" s="6"/>
      <c r="Q212" s="6"/>
      <c r="R212" s="6"/>
      <c r="S212" s="6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18"/>
      <c r="J213" s="3"/>
      <c r="K213" s="3"/>
      <c r="L213" s="3"/>
      <c r="M213" s="3"/>
      <c r="N213" s="6"/>
      <c r="O213" s="6"/>
      <c r="P213" s="6"/>
      <c r="Q213" s="6"/>
      <c r="R213" s="6"/>
      <c r="S213" s="6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18"/>
      <c r="J214" s="3"/>
      <c r="K214" s="3"/>
      <c r="L214" s="3"/>
      <c r="M214" s="3"/>
      <c r="N214" s="6"/>
      <c r="O214" s="6"/>
      <c r="P214" s="6"/>
      <c r="Q214" s="6"/>
      <c r="R214" s="6"/>
      <c r="S214" s="6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18"/>
      <c r="J215" s="3"/>
      <c r="K215" s="3"/>
      <c r="L215" s="3"/>
      <c r="M215" s="3"/>
      <c r="N215" s="6"/>
      <c r="O215" s="6"/>
      <c r="P215" s="6"/>
      <c r="Q215" s="6"/>
      <c r="R215" s="6"/>
      <c r="S215" s="6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18"/>
      <c r="J216" s="3"/>
      <c r="K216" s="3"/>
      <c r="L216" s="3"/>
      <c r="M216" s="3"/>
      <c r="N216" s="6"/>
      <c r="O216" s="6"/>
      <c r="P216" s="6"/>
      <c r="Q216" s="6"/>
      <c r="R216" s="6"/>
      <c r="S216" s="6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18"/>
      <c r="J217" s="3"/>
      <c r="K217" s="3"/>
      <c r="L217" s="3"/>
      <c r="M217" s="3"/>
      <c r="N217" s="6"/>
      <c r="O217" s="6"/>
      <c r="P217" s="6"/>
      <c r="Q217" s="6"/>
      <c r="R217" s="6"/>
      <c r="S217" s="6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18"/>
      <c r="J218" s="3"/>
      <c r="K218" s="3"/>
      <c r="L218" s="3"/>
      <c r="M218" s="3"/>
      <c r="N218" s="6"/>
      <c r="O218" s="6"/>
      <c r="P218" s="6"/>
      <c r="Q218" s="6"/>
      <c r="R218" s="6"/>
      <c r="S218" s="6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18"/>
      <c r="J219" s="3"/>
      <c r="K219" s="3"/>
      <c r="L219" s="3"/>
      <c r="M219" s="3"/>
      <c r="N219" s="6"/>
      <c r="O219" s="6"/>
      <c r="P219" s="6"/>
      <c r="Q219" s="6"/>
      <c r="R219" s="6"/>
      <c r="S219" s="6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18"/>
      <c r="J220" s="3"/>
      <c r="K220" s="3"/>
      <c r="L220" s="3"/>
      <c r="M220" s="3"/>
      <c r="N220" s="6"/>
      <c r="O220" s="6"/>
      <c r="P220" s="6"/>
      <c r="Q220" s="6"/>
      <c r="R220" s="6"/>
      <c r="S220" s="6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18"/>
      <c r="J221" s="3"/>
      <c r="K221" s="3"/>
      <c r="L221" s="3"/>
      <c r="M221" s="3"/>
      <c r="N221" s="6"/>
      <c r="O221" s="6"/>
      <c r="P221" s="6"/>
      <c r="Q221" s="6"/>
      <c r="R221" s="6"/>
      <c r="S221" s="6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18"/>
      <c r="J222" s="3"/>
      <c r="K222" s="3"/>
      <c r="L222" s="3"/>
      <c r="M222" s="3"/>
      <c r="N222" s="6"/>
      <c r="O222" s="6"/>
      <c r="P222" s="6"/>
      <c r="Q222" s="6"/>
      <c r="R222" s="6"/>
      <c r="S222" s="6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18"/>
      <c r="J223" s="3"/>
      <c r="K223" s="3"/>
      <c r="L223" s="3"/>
      <c r="M223" s="3"/>
      <c r="N223" s="6"/>
      <c r="O223" s="6"/>
      <c r="P223" s="6"/>
      <c r="Q223" s="6"/>
      <c r="R223" s="6"/>
      <c r="S223" s="6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18"/>
      <c r="J224" s="3"/>
      <c r="K224" s="3"/>
      <c r="L224" s="3"/>
      <c r="M224" s="3"/>
      <c r="N224" s="6"/>
      <c r="O224" s="6"/>
      <c r="P224" s="6"/>
      <c r="Q224" s="6"/>
      <c r="R224" s="6"/>
      <c r="S224" s="6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18"/>
      <c r="J225" s="3"/>
      <c r="K225" s="3"/>
      <c r="L225" s="3"/>
      <c r="M225" s="3"/>
      <c r="N225" s="6"/>
      <c r="O225" s="6"/>
      <c r="P225" s="6"/>
      <c r="Q225" s="6"/>
      <c r="R225" s="6"/>
      <c r="S225" s="6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18"/>
      <c r="J226" s="3"/>
      <c r="K226" s="3"/>
      <c r="L226" s="3"/>
      <c r="M226" s="3"/>
      <c r="N226" s="6"/>
      <c r="O226" s="6"/>
      <c r="P226" s="6"/>
      <c r="Q226" s="6"/>
      <c r="R226" s="6"/>
      <c r="S226" s="6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18"/>
      <c r="J227" s="3"/>
      <c r="K227" s="3"/>
      <c r="L227" s="3"/>
      <c r="M227" s="3"/>
      <c r="N227" s="6"/>
      <c r="O227" s="6"/>
      <c r="P227" s="6"/>
      <c r="Q227" s="6"/>
      <c r="R227" s="6"/>
      <c r="S227" s="6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18"/>
      <c r="J228" s="3"/>
      <c r="K228" s="3"/>
      <c r="L228" s="3"/>
      <c r="M228" s="3"/>
      <c r="N228" s="6"/>
      <c r="O228" s="6"/>
      <c r="P228" s="6"/>
      <c r="Q228" s="6"/>
      <c r="R228" s="6"/>
      <c r="S228" s="6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18"/>
      <c r="J229" s="3"/>
      <c r="K229" s="3"/>
      <c r="L229" s="3"/>
      <c r="M229" s="3"/>
      <c r="N229" s="6"/>
      <c r="O229" s="6"/>
      <c r="P229" s="6"/>
      <c r="Q229" s="6"/>
      <c r="R229" s="6"/>
      <c r="S229" s="6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18"/>
      <c r="J230" s="3"/>
      <c r="K230" s="3"/>
      <c r="L230" s="3"/>
      <c r="M230" s="3"/>
      <c r="N230" s="6"/>
      <c r="O230" s="6"/>
      <c r="P230" s="6"/>
      <c r="Q230" s="6"/>
      <c r="R230" s="6"/>
      <c r="S230" s="6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18"/>
      <c r="J231" s="3"/>
      <c r="K231" s="3"/>
      <c r="L231" s="3"/>
      <c r="M231" s="3"/>
      <c r="N231" s="6"/>
      <c r="O231" s="6"/>
      <c r="P231" s="6"/>
      <c r="Q231" s="6"/>
      <c r="R231" s="6"/>
      <c r="S231" s="6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18"/>
      <c r="J232" s="3"/>
      <c r="K232" s="3"/>
      <c r="L232" s="3"/>
      <c r="M232" s="3"/>
      <c r="N232" s="6"/>
      <c r="O232" s="6"/>
      <c r="P232" s="6"/>
      <c r="Q232" s="6"/>
      <c r="R232" s="6"/>
      <c r="S232" s="6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18"/>
      <c r="J233" s="3"/>
      <c r="K233" s="3"/>
      <c r="L233" s="3"/>
      <c r="M233" s="3"/>
      <c r="N233" s="6"/>
      <c r="O233" s="6"/>
      <c r="P233" s="6"/>
      <c r="Q233" s="6"/>
      <c r="R233" s="6"/>
      <c r="S233" s="6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18"/>
      <c r="J234" s="3"/>
      <c r="K234" s="3"/>
      <c r="L234" s="3"/>
      <c r="M234" s="3"/>
      <c r="N234" s="6"/>
      <c r="O234" s="6"/>
      <c r="P234" s="6"/>
      <c r="Q234" s="6"/>
      <c r="R234" s="6"/>
      <c r="S234" s="6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18"/>
      <c r="J235" s="3"/>
      <c r="K235" s="3"/>
      <c r="L235" s="3"/>
      <c r="M235" s="3"/>
      <c r="N235" s="6"/>
      <c r="O235" s="6"/>
      <c r="P235" s="6"/>
      <c r="Q235" s="6"/>
      <c r="R235" s="6"/>
      <c r="S235" s="6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18"/>
      <c r="J236" s="3"/>
      <c r="K236" s="3"/>
      <c r="L236" s="3"/>
      <c r="M236" s="3"/>
      <c r="N236" s="6"/>
      <c r="O236" s="6"/>
      <c r="P236" s="6"/>
      <c r="Q236" s="6"/>
      <c r="R236" s="6"/>
      <c r="S236" s="6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18"/>
      <c r="J237" s="3"/>
      <c r="K237" s="3"/>
      <c r="L237" s="3"/>
      <c r="M237" s="3"/>
      <c r="N237" s="6"/>
      <c r="O237" s="6"/>
      <c r="P237" s="6"/>
      <c r="Q237" s="6"/>
      <c r="R237" s="6"/>
      <c r="S237" s="6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18"/>
      <c r="J238" s="3"/>
      <c r="K238" s="3"/>
      <c r="L238" s="3"/>
      <c r="M238" s="3"/>
      <c r="N238" s="6"/>
      <c r="O238" s="6"/>
      <c r="P238" s="6"/>
      <c r="Q238" s="6"/>
      <c r="R238" s="6"/>
      <c r="S238" s="6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18"/>
      <c r="J239" s="3"/>
      <c r="K239" s="3"/>
      <c r="L239" s="3"/>
      <c r="M239" s="3"/>
      <c r="N239" s="6"/>
      <c r="O239" s="6"/>
      <c r="P239" s="6"/>
      <c r="Q239" s="6"/>
      <c r="R239" s="6"/>
      <c r="S239" s="6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18"/>
      <c r="J240" s="3"/>
      <c r="K240" s="3"/>
      <c r="L240" s="3"/>
      <c r="M240" s="3"/>
      <c r="N240" s="6"/>
      <c r="O240" s="6"/>
      <c r="P240" s="6"/>
      <c r="Q240" s="6"/>
      <c r="R240" s="6"/>
      <c r="S240" s="6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18"/>
      <c r="J241" s="3"/>
      <c r="K241" s="3"/>
      <c r="L241" s="3"/>
      <c r="M241" s="3"/>
      <c r="N241" s="6"/>
      <c r="O241" s="6"/>
      <c r="P241" s="6"/>
      <c r="Q241" s="6"/>
      <c r="R241" s="6"/>
      <c r="S241" s="6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18"/>
      <c r="J242" s="3"/>
      <c r="K242" s="3"/>
      <c r="L242" s="3"/>
      <c r="M242" s="3"/>
      <c r="N242" s="6"/>
      <c r="O242" s="6"/>
      <c r="P242" s="6"/>
      <c r="Q242" s="6"/>
      <c r="R242" s="6"/>
      <c r="S242" s="6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18"/>
      <c r="J243" s="3"/>
      <c r="K243" s="3"/>
      <c r="L243" s="3"/>
      <c r="M243" s="3"/>
      <c r="N243" s="6"/>
      <c r="O243" s="6"/>
      <c r="P243" s="6"/>
      <c r="Q243" s="6"/>
      <c r="R243" s="6"/>
      <c r="S243" s="6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18"/>
      <c r="J244" s="3"/>
      <c r="K244" s="3"/>
      <c r="L244" s="3"/>
      <c r="M244" s="3"/>
      <c r="N244" s="6"/>
      <c r="O244" s="6"/>
      <c r="P244" s="6"/>
      <c r="Q244" s="6"/>
      <c r="R244" s="6"/>
      <c r="S244" s="6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18"/>
      <c r="J245" s="3"/>
      <c r="K245" s="3"/>
      <c r="L245" s="3"/>
      <c r="M245" s="3"/>
      <c r="N245" s="6"/>
      <c r="O245" s="6"/>
      <c r="P245" s="6"/>
      <c r="Q245" s="6"/>
      <c r="R245" s="6"/>
      <c r="S245" s="6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18"/>
      <c r="J246" s="3"/>
      <c r="K246" s="3"/>
      <c r="L246" s="3"/>
      <c r="M246" s="3"/>
      <c r="N246" s="6"/>
      <c r="O246" s="6"/>
      <c r="P246" s="6"/>
      <c r="Q246" s="6"/>
      <c r="R246" s="6"/>
      <c r="S246" s="6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18"/>
      <c r="J247" s="3"/>
      <c r="K247" s="3"/>
      <c r="L247" s="3"/>
      <c r="M247" s="3"/>
      <c r="N247" s="6"/>
      <c r="O247" s="6"/>
      <c r="P247" s="6"/>
      <c r="Q247" s="6"/>
      <c r="R247" s="6"/>
      <c r="S247" s="6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18"/>
      <c r="J248" s="3"/>
      <c r="K248" s="3"/>
      <c r="L248" s="3"/>
      <c r="M248" s="3"/>
      <c r="N248" s="6"/>
      <c r="O248" s="6"/>
      <c r="P248" s="6"/>
      <c r="Q248" s="6"/>
      <c r="R248" s="6"/>
      <c r="S248" s="6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18"/>
      <c r="J249" s="3"/>
      <c r="K249" s="3"/>
      <c r="L249" s="3"/>
      <c r="M249" s="3"/>
      <c r="N249" s="6"/>
      <c r="O249" s="6"/>
      <c r="P249" s="6"/>
      <c r="Q249" s="6"/>
      <c r="R249" s="6"/>
      <c r="S249" s="6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18"/>
      <c r="J250" s="3"/>
      <c r="K250" s="3"/>
      <c r="L250" s="3"/>
      <c r="M250" s="3"/>
      <c r="N250" s="6"/>
      <c r="O250" s="6"/>
      <c r="P250" s="6"/>
      <c r="Q250" s="6"/>
      <c r="R250" s="6"/>
      <c r="S250" s="6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18"/>
      <c r="J251" s="3"/>
      <c r="K251" s="3"/>
      <c r="L251" s="3"/>
      <c r="M251" s="3"/>
      <c r="N251" s="6"/>
      <c r="O251" s="6"/>
      <c r="P251" s="6"/>
      <c r="Q251" s="6"/>
      <c r="R251" s="6"/>
      <c r="S251" s="6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18"/>
      <c r="J252" s="3"/>
      <c r="K252" s="3"/>
      <c r="L252" s="3"/>
      <c r="M252" s="3"/>
      <c r="N252" s="6"/>
      <c r="O252" s="6"/>
      <c r="P252" s="6"/>
      <c r="Q252" s="6"/>
      <c r="R252" s="6"/>
      <c r="S252" s="6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18"/>
      <c r="J253" s="3"/>
      <c r="K253" s="3"/>
      <c r="L253" s="3"/>
      <c r="M253" s="3"/>
      <c r="N253" s="6"/>
      <c r="O253" s="6"/>
      <c r="P253" s="6"/>
      <c r="Q253" s="6"/>
      <c r="R253" s="6"/>
      <c r="S253" s="6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18"/>
      <c r="J254" s="3"/>
      <c r="K254" s="3"/>
      <c r="L254" s="3"/>
      <c r="M254" s="3"/>
      <c r="N254" s="6"/>
      <c r="O254" s="6"/>
      <c r="P254" s="6"/>
      <c r="Q254" s="6"/>
      <c r="R254" s="6"/>
      <c r="S254" s="6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18"/>
      <c r="J255" s="3"/>
      <c r="K255" s="3"/>
      <c r="L255" s="3"/>
      <c r="M255" s="3"/>
      <c r="N255" s="6"/>
      <c r="O255" s="6"/>
      <c r="P255" s="6"/>
      <c r="Q255" s="6"/>
      <c r="R255" s="6"/>
      <c r="S255" s="6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18"/>
      <c r="J256" s="3"/>
      <c r="K256" s="3"/>
      <c r="L256" s="3"/>
      <c r="M256" s="3"/>
      <c r="N256" s="6"/>
      <c r="O256" s="6"/>
      <c r="P256" s="6"/>
      <c r="Q256" s="6"/>
      <c r="R256" s="6"/>
      <c r="S256" s="6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18"/>
      <c r="J257" s="3"/>
      <c r="K257" s="3"/>
      <c r="L257" s="3"/>
      <c r="M257" s="3"/>
      <c r="N257" s="6"/>
      <c r="O257" s="6"/>
      <c r="P257" s="6"/>
      <c r="Q257" s="6"/>
      <c r="R257" s="6"/>
      <c r="S257" s="6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18"/>
      <c r="J258" s="3"/>
      <c r="K258" s="3"/>
      <c r="L258" s="3"/>
      <c r="M258" s="3"/>
      <c r="N258" s="6"/>
      <c r="O258" s="6"/>
      <c r="P258" s="6"/>
      <c r="Q258" s="6"/>
      <c r="R258" s="6"/>
      <c r="S258" s="6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18"/>
      <c r="J259" s="3"/>
      <c r="K259" s="3"/>
      <c r="L259" s="3"/>
      <c r="M259" s="3"/>
      <c r="N259" s="6"/>
      <c r="O259" s="6"/>
      <c r="P259" s="6"/>
      <c r="Q259" s="6"/>
      <c r="R259" s="6"/>
      <c r="S259" s="6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18"/>
      <c r="J260" s="3"/>
      <c r="K260" s="3"/>
      <c r="L260" s="3"/>
      <c r="M260" s="3"/>
      <c r="N260" s="6"/>
      <c r="O260" s="6"/>
      <c r="P260" s="6"/>
      <c r="Q260" s="6"/>
      <c r="R260" s="6"/>
      <c r="S260" s="6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18"/>
      <c r="J261" s="3"/>
      <c r="K261" s="3"/>
      <c r="L261" s="3"/>
      <c r="M261" s="3"/>
      <c r="N261" s="6"/>
      <c r="O261" s="6"/>
      <c r="P261" s="6"/>
      <c r="Q261" s="6"/>
      <c r="R261" s="6"/>
      <c r="S261" s="6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18"/>
      <c r="J262" s="3"/>
      <c r="K262" s="3"/>
      <c r="L262" s="3"/>
      <c r="M262" s="3"/>
      <c r="N262" s="6"/>
      <c r="O262" s="6"/>
      <c r="P262" s="6"/>
      <c r="Q262" s="6"/>
      <c r="R262" s="6"/>
      <c r="S262" s="6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18"/>
      <c r="J263" s="3"/>
      <c r="K263" s="3"/>
      <c r="L263" s="3"/>
      <c r="M263" s="3"/>
      <c r="N263" s="6"/>
      <c r="O263" s="6"/>
      <c r="P263" s="6"/>
      <c r="Q263" s="6"/>
      <c r="R263" s="6"/>
      <c r="S263" s="6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18"/>
      <c r="J264" s="3"/>
      <c r="K264" s="3"/>
      <c r="L264" s="3"/>
      <c r="M264" s="3"/>
      <c r="N264" s="6"/>
      <c r="O264" s="6"/>
      <c r="P264" s="6"/>
      <c r="Q264" s="6"/>
      <c r="R264" s="6"/>
      <c r="S264" s="6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18"/>
      <c r="J265" s="3"/>
      <c r="K265" s="3"/>
      <c r="L265" s="3"/>
      <c r="M265" s="3"/>
      <c r="N265" s="6"/>
      <c r="O265" s="6"/>
      <c r="P265" s="6"/>
      <c r="Q265" s="6"/>
      <c r="R265" s="6"/>
      <c r="S265" s="6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18"/>
      <c r="J266" s="3"/>
      <c r="K266" s="3"/>
      <c r="L266" s="3"/>
      <c r="M266" s="3"/>
      <c r="N266" s="6"/>
      <c r="O266" s="6"/>
      <c r="P266" s="6"/>
      <c r="Q266" s="6"/>
      <c r="R266" s="6"/>
      <c r="S266" s="6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18"/>
      <c r="J267" s="3"/>
      <c r="K267" s="3"/>
      <c r="L267" s="3"/>
      <c r="M267" s="3"/>
      <c r="N267" s="6"/>
      <c r="O267" s="6"/>
      <c r="P267" s="6"/>
      <c r="Q267" s="6"/>
      <c r="R267" s="6"/>
      <c r="S267" s="6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18"/>
      <c r="J268" s="3"/>
      <c r="K268" s="3"/>
      <c r="L268" s="3"/>
      <c r="M268" s="3"/>
      <c r="N268" s="6"/>
      <c r="O268" s="6"/>
      <c r="P268" s="6"/>
      <c r="Q268" s="6"/>
      <c r="R268" s="6"/>
      <c r="S268" s="6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18"/>
      <c r="J269" s="3"/>
      <c r="K269" s="3"/>
      <c r="L269" s="3"/>
      <c r="M269" s="3"/>
      <c r="N269" s="6"/>
      <c r="O269" s="6"/>
      <c r="P269" s="6"/>
      <c r="Q269" s="6"/>
      <c r="R269" s="6"/>
      <c r="S269" s="6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18"/>
      <c r="J270" s="3"/>
      <c r="K270" s="3"/>
      <c r="L270" s="3"/>
      <c r="M270" s="3"/>
      <c r="N270" s="6"/>
      <c r="O270" s="6"/>
      <c r="P270" s="6"/>
      <c r="Q270" s="6"/>
      <c r="R270" s="6"/>
      <c r="S270" s="6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18"/>
      <c r="J271" s="3"/>
      <c r="K271" s="3"/>
      <c r="L271" s="3"/>
      <c r="M271" s="3"/>
      <c r="N271" s="6"/>
      <c r="O271" s="6"/>
      <c r="P271" s="6"/>
      <c r="Q271" s="6"/>
      <c r="R271" s="6"/>
      <c r="S271" s="6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18"/>
      <c r="J272" s="3"/>
      <c r="K272" s="3"/>
      <c r="L272" s="3"/>
      <c r="M272" s="3"/>
      <c r="N272" s="6"/>
      <c r="O272" s="6"/>
      <c r="P272" s="6"/>
      <c r="Q272" s="6"/>
      <c r="R272" s="6"/>
      <c r="S272" s="6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18"/>
      <c r="J273" s="3"/>
      <c r="K273" s="3"/>
      <c r="L273" s="3"/>
      <c r="M273" s="3"/>
      <c r="N273" s="6"/>
      <c r="O273" s="6"/>
      <c r="P273" s="6"/>
      <c r="Q273" s="6"/>
      <c r="R273" s="6"/>
      <c r="S273" s="6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18"/>
      <c r="J274" s="3"/>
      <c r="K274" s="3"/>
      <c r="L274" s="3"/>
      <c r="M274" s="3"/>
      <c r="N274" s="6"/>
      <c r="O274" s="6"/>
      <c r="P274" s="6"/>
      <c r="Q274" s="6"/>
      <c r="R274" s="6"/>
      <c r="S274" s="6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18"/>
      <c r="J275" s="3"/>
      <c r="K275" s="3"/>
      <c r="L275" s="3"/>
      <c r="M275" s="3"/>
      <c r="N275" s="6"/>
      <c r="O275" s="6"/>
      <c r="P275" s="6"/>
      <c r="Q275" s="6"/>
      <c r="R275" s="6"/>
      <c r="S275" s="6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18"/>
      <c r="J276" s="3"/>
      <c r="K276" s="3"/>
      <c r="L276" s="3"/>
      <c r="M276" s="3"/>
      <c r="N276" s="6"/>
      <c r="O276" s="6"/>
      <c r="P276" s="6"/>
      <c r="Q276" s="6"/>
      <c r="R276" s="6"/>
      <c r="S276" s="6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18"/>
      <c r="J277" s="3"/>
      <c r="K277" s="3"/>
      <c r="L277" s="3"/>
      <c r="M277" s="3"/>
      <c r="N277" s="6"/>
      <c r="O277" s="6"/>
      <c r="P277" s="6"/>
      <c r="Q277" s="6"/>
      <c r="R277" s="6"/>
      <c r="S277" s="6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18"/>
      <c r="J278" s="3"/>
      <c r="K278" s="3"/>
      <c r="L278" s="3"/>
      <c r="M278" s="3"/>
      <c r="N278" s="6"/>
      <c r="O278" s="6"/>
      <c r="P278" s="6"/>
      <c r="Q278" s="6"/>
      <c r="R278" s="6"/>
      <c r="S278" s="6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18"/>
      <c r="J279" s="3"/>
      <c r="K279" s="3"/>
      <c r="L279" s="3"/>
      <c r="M279" s="3"/>
      <c r="N279" s="6"/>
      <c r="O279" s="6"/>
      <c r="P279" s="6"/>
      <c r="Q279" s="6"/>
      <c r="R279" s="6"/>
      <c r="S279" s="6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18"/>
      <c r="J280" s="3"/>
      <c r="K280" s="3"/>
      <c r="L280" s="3"/>
      <c r="M280" s="3"/>
      <c r="N280" s="6"/>
      <c r="O280" s="6"/>
      <c r="P280" s="6"/>
      <c r="Q280" s="6"/>
      <c r="R280" s="6"/>
      <c r="S280" s="6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18"/>
      <c r="J281" s="3"/>
      <c r="K281" s="3"/>
      <c r="L281" s="3"/>
      <c r="M281" s="3"/>
      <c r="N281" s="6"/>
      <c r="O281" s="6"/>
      <c r="P281" s="6"/>
      <c r="Q281" s="6"/>
      <c r="R281" s="6"/>
      <c r="S281" s="6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18"/>
      <c r="J282" s="3"/>
      <c r="K282" s="3"/>
      <c r="L282" s="3"/>
      <c r="M282" s="3"/>
      <c r="N282" s="6"/>
      <c r="O282" s="6"/>
      <c r="P282" s="6"/>
      <c r="Q282" s="6"/>
      <c r="R282" s="6"/>
      <c r="S282" s="6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18"/>
      <c r="J283" s="3"/>
      <c r="K283" s="3"/>
      <c r="L283" s="3"/>
      <c r="M283" s="3"/>
      <c r="N283" s="6"/>
      <c r="O283" s="6"/>
      <c r="P283" s="6"/>
      <c r="Q283" s="6"/>
      <c r="R283" s="6"/>
      <c r="S283" s="6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18"/>
      <c r="J284" s="3"/>
      <c r="K284" s="3"/>
      <c r="L284" s="3"/>
      <c r="M284" s="3"/>
      <c r="N284" s="6"/>
      <c r="O284" s="6"/>
      <c r="P284" s="6"/>
      <c r="Q284" s="6"/>
      <c r="R284" s="6"/>
      <c r="S284" s="6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18"/>
      <c r="J285" s="3"/>
      <c r="K285" s="3"/>
      <c r="L285" s="3"/>
      <c r="M285" s="3"/>
      <c r="N285" s="6"/>
      <c r="O285" s="6"/>
      <c r="P285" s="6"/>
      <c r="Q285" s="6"/>
      <c r="R285" s="6"/>
      <c r="S285" s="6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18"/>
      <c r="J286" s="3"/>
      <c r="K286" s="3"/>
      <c r="L286" s="3"/>
      <c r="M286" s="3"/>
      <c r="N286" s="6"/>
      <c r="O286" s="6"/>
      <c r="P286" s="6"/>
      <c r="Q286" s="6"/>
      <c r="R286" s="6"/>
      <c r="S286" s="6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18"/>
      <c r="J287" s="3"/>
      <c r="K287" s="3"/>
      <c r="L287" s="3"/>
      <c r="M287" s="3"/>
      <c r="N287" s="6"/>
      <c r="O287" s="6"/>
      <c r="P287" s="6"/>
      <c r="Q287" s="6"/>
      <c r="R287" s="6"/>
      <c r="S287" s="6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18"/>
      <c r="J288" s="3"/>
      <c r="K288" s="3"/>
      <c r="L288" s="3"/>
      <c r="M288" s="3"/>
      <c r="N288" s="6"/>
      <c r="O288" s="6"/>
      <c r="P288" s="6"/>
      <c r="Q288" s="6"/>
      <c r="R288" s="6"/>
      <c r="S288" s="6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18"/>
      <c r="J289" s="3"/>
      <c r="K289" s="3"/>
      <c r="L289" s="3"/>
      <c r="M289" s="3"/>
      <c r="N289" s="6"/>
      <c r="O289" s="6"/>
      <c r="P289" s="6"/>
      <c r="Q289" s="6"/>
      <c r="R289" s="6"/>
      <c r="S289" s="6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18"/>
      <c r="J290" s="3"/>
      <c r="K290" s="3"/>
      <c r="L290" s="3"/>
      <c r="M290" s="3"/>
      <c r="N290" s="6"/>
      <c r="O290" s="6"/>
      <c r="P290" s="6"/>
      <c r="Q290" s="6"/>
      <c r="R290" s="6"/>
      <c r="S290" s="6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18"/>
      <c r="J291" s="3"/>
      <c r="K291" s="3"/>
      <c r="L291" s="3"/>
      <c r="M291" s="3"/>
      <c r="N291" s="6"/>
      <c r="O291" s="6"/>
      <c r="P291" s="6"/>
      <c r="Q291" s="6"/>
      <c r="R291" s="6"/>
      <c r="S291" s="6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18"/>
      <c r="J292" s="3"/>
      <c r="K292" s="3"/>
      <c r="L292" s="3"/>
      <c r="M292" s="3"/>
      <c r="N292" s="6"/>
      <c r="O292" s="6"/>
      <c r="P292" s="6"/>
      <c r="Q292" s="6"/>
      <c r="R292" s="6"/>
      <c r="S292" s="6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18"/>
      <c r="J293" s="3"/>
      <c r="K293" s="3"/>
      <c r="L293" s="3"/>
      <c r="M293" s="3"/>
      <c r="N293" s="6"/>
      <c r="O293" s="6"/>
      <c r="P293" s="6"/>
      <c r="Q293" s="6"/>
      <c r="R293" s="6"/>
      <c r="S293" s="6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18"/>
      <c r="J294" s="3"/>
      <c r="K294" s="3"/>
      <c r="L294" s="3"/>
      <c r="M294" s="3"/>
      <c r="N294" s="6"/>
      <c r="O294" s="6"/>
      <c r="P294" s="6"/>
      <c r="Q294" s="6"/>
      <c r="R294" s="6"/>
      <c r="S294" s="6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18"/>
      <c r="J295" s="3"/>
      <c r="K295" s="3"/>
      <c r="L295" s="3"/>
      <c r="M295" s="3"/>
      <c r="N295" s="6"/>
      <c r="O295" s="6"/>
      <c r="P295" s="6"/>
      <c r="Q295" s="6"/>
      <c r="R295" s="6"/>
      <c r="S295" s="6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18"/>
      <c r="J296" s="3"/>
      <c r="K296" s="3"/>
      <c r="L296" s="3"/>
      <c r="M296" s="3"/>
      <c r="N296" s="6"/>
      <c r="O296" s="6"/>
      <c r="P296" s="6"/>
      <c r="Q296" s="6"/>
      <c r="R296" s="6"/>
      <c r="S296" s="6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18"/>
      <c r="J297" s="3"/>
      <c r="K297" s="3"/>
      <c r="L297" s="3"/>
      <c r="M297" s="3"/>
      <c r="N297" s="6"/>
      <c r="O297" s="6"/>
      <c r="P297" s="6"/>
      <c r="Q297" s="6"/>
      <c r="R297" s="6"/>
      <c r="S297" s="6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18"/>
      <c r="J298" s="3"/>
      <c r="K298" s="3"/>
      <c r="L298" s="3"/>
      <c r="M298" s="3"/>
      <c r="N298" s="6"/>
      <c r="O298" s="6"/>
      <c r="P298" s="6"/>
      <c r="Q298" s="6"/>
      <c r="R298" s="6"/>
      <c r="S298" s="6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18"/>
      <c r="J299" s="3"/>
      <c r="K299" s="3"/>
      <c r="L299" s="3"/>
      <c r="M299" s="3"/>
      <c r="N299" s="6"/>
      <c r="O299" s="6"/>
      <c r="P299" s="6"/>
      <c r="Q299" s="6"/>
      <c r="R299" s="6"/>
      <c r="S299" s="6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18"/>
      <c r="J300" s="3"/>
      <c r="K300" s="3"/>
      <c r="L300" s="3"/>
      <c r="M300" s="3"/>
      <c r="N300" s="6"/>
      <c r="O300" s="6"/>
      <c r="P300" s="6"/>
      <c r="Q300" s="6"/>
      <c r="R300" s="6"/>
      <c r="S300" s="6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18"/>
      <c r="J301" s="3"/>
      <c r="K301" s="3"/>
      <c r="L301" s="3"/>
      <c r="M301" s="3"/>
      <c r="N301" s="6"/>
      <c r="O301" s="6"/>
      <c r="P301" s="6"/>
      <c r="Q301" s="6"/>
      <c r="R301" s="6"/>
      <c r="S301" s="6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18"/>
      <c r="J302" s="3"/>
      <c r="K302" s="3"/>
      <c r="L302" s="3"/>
      <c r="M302" s="3"/>
      <c r="N302" s="6"/>
      <c r="O302" s="6"/>
      <c r="P302" s="6"/>
      <c r="Q302" s="6"/>
      <c r="R302" s="6"/>
      <c r="S302" s="6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18"/>
      <c r="J303" s="3"/>
      <c r="K303" s="3"/>
      <c r="L303" s="3"/>
      <c r="M303" s="3"/>
      <c r="N303" s="6"/>
      <c r="O303" s="6"/>
      <c r="P303" s="6"/>
      <c r="Q303" s="6"/>
      <c r="R303" s="6"/>
      <c r="S303" s="6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18"/>
      <c r="J304" s="3"/>
      <c r="K304" s="3"/>
      <c r="L304" s="3"/>
      <c r="M304" s="3"/>
      <c r="N304" s="6"/>
      <c r="O304" s="6"/>
      <c r="P304" s="6"/>
      <c r="Q304" s="6"/>
      <c r="R304" s="6"/>
      <c r="S304" s="6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18"/>
      <c r="J305" s="3"/>
      <c r="K305" s="3"/>
      <c r="L305" s="3"/>
      <c r="M305" s="3"/>
      <c r="N305" s="6"/>
      <c r="O305" s="6"/>
      <c r="P305" s="6"/>
      <c r="Q305" s="6"/>
      <c r="R305" s="6"/>
      <c r="S305" s="6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18"/>
      <c r="J306" s="3"/>
      <c r="K306" s="3"/>
      <c r="L306" s="3"/>
      <c r="M306" s="3"/>
      <c r="N306" s="6"/>
      <c r="O306" s="6"/>
      <c r="P306" s="6"/>
      <c r="Q306" s="6"/>
      <c r="R306" s="6"/>
      <c r="S306" s="6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18"/>
      <c r="J307" s="3"/>
      <c r="K307" s="3"/>
      <c r="L307" s="3"/>
      <c r="M307" s="3"/>
      <c r="N307" s="6"/>
      <c r="O307" s="6"/>
      <c r="P307" s="6"/>
      <c r="Q307" s="6"/>
      <c r="R307" s="6"/>
      <c r="S307" s="6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18"/>
      <c r="J308" s="3"/>
      <c r="K308" s="3"/>
      <c r="L308" s="3"/>
      <c r="M308" s="3"/>
      <c r="N308" s="6"/>
      <c r="O308" s="6"/>
      <c r="P308" s="6"/>
      <c r="Q308" s="6"/>
      <c r="R308" s="6"/>
      <c r="S308" s="6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18"/>
      <c r="J309" s="3"/>
      <c r="K309" s="3"/>
      <c r="L309" s="3"/>
      <c r="M309" s="3"/>
      <c r="N309" s="6"/>
      <c r="O309" s="6"/>
      <c r="P309" s="6"/>
      <c r="Q309" s="6"/>
      <c r="R309" s="6"/>
      <c r="S309" s="6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18"/>
      <c r="J310" s="3"/>
      <c r="K310" s="3"/>
      <c r="L310" s="3"/>
      <c r="M310" s="3"/>
      <c r="N310" s="6"/>
      <c r="O310" s="6"/>
      <c r="P310" s="6"/>
      <c r="Q310" s="6"/>
      <c r="R310" s="6"/>
      <c r="S310" s="6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18"/>
      <c r="J311" s="3"/>
      <c r="K311" s="3"/>
      <c r="L311" s="3"/>
      <c r="M311" s="3"/>
      <c r="N311" s="6"/>
      <c r="O311" s="6"/>
      <c r="P311" s="6"/>
      <c r="Q311" s="6"/>
      <c r="R311" s="6"/>
      <c r="S311" s="6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18"/>
      <c r="J312" s="3"/>
      <c r="K312" s="3"/>
      <c r="L312" s="3"/>
      <c r="M312" s="3"/>
      <c r="N312" s="6"/>
      <c r="O312" s="6"/>
      <c r="P312" s="6"/>
      <c r="Q312" s="6"/>
      <c r="R312" s="6"/>
      <c r="S312" s="6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18"/>
      <c r="J313" s="3"/>
      <c r="K313" s="3"/>
      <c r="L313" s="3"/>
      <c r="M313" s="3"/>
      <c r="N313" s="6"/>
      <c r="O313" s="6"/>
      <c r="P313" s="6"/>
      <c r="Q313" s="6"/>
      <c r="R313" s="6"/>
      <c r="S313" s="6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18"/>
      <c r="J314" s="3"/>
      <c r="K314" s="3"/>
      <c r="L314" s="3"/>
      <c r="M314" s="3"/>
      <c r="N314" s="6"/>
      <c r="O314" s="6"/>
      <c r="P314" s="6"/>
      <c r="Q314" s="6"/>
      <c r="R314" s="6"/>
      <c r="S314" s="6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18"/>
      <c r="J315" s="3"/>
      <c r="K315" s="3"/>
      <c r="L315" s="3"/>
      <c r="M315" s="3"/>
      <c r="N315" s="6"/>
      <c r="O315" s="6"/>
      <c r="P315" s="6"/>
      <c r="Q315" s="6"/>
      <c r="R315" s="6"/>
      <c r="S315" s="6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18"/>
      <c r="J316" s="3"/>
      <c r="K316" s="3"/>
      <c r="L316" s="3"/>
      <c r="M316" s="3"/>
      <c r="N316" s="6"/>
      <c r="O316" s="6"/>
      <c r="P316" s="6"/>
      <c r="Q316" s="6"/>
      <c r="R316" s="6"/>
      <c r="S316" s="6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18"/>
      <c r="J317" s="3"/>
      <c r="K317" s="3"/>
      <c r="L317" s="3"/>
      <c r="M317" s="3"/>
      <c r="N317" s="6"/>
      <c r="O317" s="6"/>
      <c r="P317" s="6"/>
      <c r="Q317" s="6"/>
      <c r="R317" s="6"/>
      <c r="S317" s="6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18"/>
      <c r="J318" s="3"/>
      <c r="K318" s="3"/>
      <c r="L318" s="3"/>
      <c r="M318" s="3"/>
      <c r="N318" s="6"/>
      <c r="O318" s="6"/>
      <c r="P318" s="6"/>
      <c r="Q318" s="6"/>
      <c r="R318" s="6"/>
      <c r="S318" s="6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18"/>
      <c r="J319" s="3"/>
      <c r="K319" s="3"/>
      <c r="L319" s="3"/>
      <c r="M319" s="3"/>
      <c r="N319" s="6"/>
      <c r="O319" s="6"/>
      <c r="P319" s="6"/>
      <c r="Q319" s="6"/>
      <c r="R319" s="6"/>
      <c r="S319" s="6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18"/>
      <c r="J320" s="3"/>
      <c r="K320" s="3"/>
      <c r="L320" s="3"/>
      <c r="M320" s="3"/>
      <c r="N320" s="6"/>
      <c r="O320" s="6"/>
      <c r="P320" s="6"/>
      <c r="Q320" s="6"/>
      <c r="R320" s="6"/>
      <c r="S320" s="6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18"/>
      <c r="J321" s="3"/>
      <c r="K321" s="3"/>
      <c r="L321" s="3"/>
      <c r="M321" s="3"/>
      <c r="N321" s="6"/>
      <c r="O321" s="6"/>
      <c r="P321" s="6"/>
      <c r="Q321" s="6"/>
      <c r="R321" s="6"/>
      <c r="S321" s="6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18"/>
      <c r="J322" s="3"/>
      <c r="K322" s="3"/>
      <c r="L322" s="3"/>
      <c r="M322" s="3"/>
      <c r="N322" s="6"/>
      <c r="O322" s="6"/>
      <c r="P322" s="6"/>
      <c r="Q322" s="6"/>
      <c r="R322" s="6"/>
      <c r="S322" s="6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18"/>
      <c r="J323" s="3"/>
      <c r="K323" s="3"/>
      <c r="L323" s="3"/>
      <c r="M323" s="3"/>
      <c r="N323" s="6"/>
      <c r="O323" s="6"/>
      <c r="P323" s="6"/>
      <c r="Q323" s="6"/>
      <c r="R323" s="6"/>
      <c r="S323" s="6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18"/>
      <c r="J324" s="3"/>
      <c r="K324" s="3"/>
      <c r="L324" s="3"/>
      <c r="M324" s="3"/>
      <c r="N324" s="6"/>
      <c r="O324" s="6"/>
      <c r="P324" s="6"/>
      <c r="Q324" s="6"/>
      <c r="R324" s="6"/>
      <c r="S324" s="6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18"/>
      <c r="J325" s="3"/>
      <c r="K325" s="3"/>
      <c r="L325" s="3"/>
      <c r="M325" s="3"/>
      <c r="N325" s="6"/>
      <c r="O325" s="6"/>
      <c r="P325" s="6"/>
      <c r="Q325" s="6"/>
      <c r="R325" s="6"/>
      <c r="S325" s="6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18"/>
      <c r="J326" s="3"/>
      <c r="K326" s="3"/>
      <c r="L326" s="3"/>
      <c r="M326" s="3"/>
      <c r="N326" s="6"/>
      <c r="O326" s="6"/>
      <c r="P326" s="6"/>
      <c r="Q326" s="6"/>
      <c r="R326" s="6"/>
      <c r="S326" s="6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18"/>
      <c r="J327" s="3"/>
      <c r="K327" s="3"/>
      <c r="L327" s="3"/>
      <c r="M327" s="3"/>
      <c r="N327" s="6"/>
      <c r="O327" s="6"/>
      <c r="P327" s="6"/>
      <c r="Q327" s="6"/>
      <c r="R327" s="6"/>
      <c r="S327" s="6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18"/>
      <c r="J328" s="3"/>
      <c r="K328" s="3"/>
      <c r="L328" s="3"/>
      <c r="M328" s="3"/>
      <c r="N328" s="6"/>
      <c r="O328" s="6"/>
      <c r="P328" s="6"/>
      <c r="Q328" s="6"/>
      <c r="R328" s="6"/>
      <c r="S328" s="6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18"/>
      <c r="J329" s="3"/>
      <c r="K329" s="3"/>
      <c r="L329" s="3"/>
      <c r="M329" s="3"/>
      <c r="N329" s="6"/>
      <c r="O329" s="6"/>
      <c r="P329" s="6"/>
      <c r="Q329" s="6"/>
      <c r="R329" s="6"/>
      <c r="S329" s="6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18"/>
      <c r="J330" s="3"/>
      <c r="K330" s="3"/>
      <c r="L330" s="3"/>
      <c r="M330" s="3"/>
      <c r="N330" s="6"/>
      <c r="O330" s="6"/>
      <c r="P330" s="6"/>
      <c r="Q330" s="6"/>
      <c r="R330" s="6"/>
      <c r="S330" s="6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18"/>
      <c r="J331" s="3"/>
      <c r="K331" s="3"/>
      <c r="L331" s="3"/>
      <c r="M331" s="3"/>
      <c r="N331" s="6"/>
      <c r="O331" s="6"/>
      <c r="P331" s="6"/>
      <c r="Q331" s="6"/>
      <c r="R331" s="6"/>
      <c r="S331" s="6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18"/>
      <c r="J332" s="3"/>
      <c r="K332" s="3"/>
      <c r="L332" s="3"/>
      <c r="M332" s="3"/>
      <c r="N332" s="6"/>
      <c r="O332" s="6"/>
      <c r="P332" s="6"/>
      <c r="Q332" s="6"/>
      <c r="R332" s="6"/>
      <c r="S332" s="6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18"/>
      <c r="J333" s="3"/>
      <c r="K333" s="3"/>
      <c r="L333" s="3"/>
      <c r="M333" s="3"/>
      <c r="N333" s="6"/>
      <c r="O333" s="6"/>
      <c r="P333" s="6"/>
      <c r="Q333" s="6"/>
      <c r="R333" s="6"/>
      <c r="S333" s="6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18"/>
      <c r="J334" s="3"/>
      <c r="K334" s="3"/>
      <c r="L334" s="3"/>
      <c r="M334" s="3"/>
      <c r="N334" s="6"/>
      <c r="O334" s="6"/>
      <c r="P334" s="6"/>
      <c r="Q334" s="6"/>
      <c r="R334" s="6"/>
      <c r="S334" s="6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18"/>
      <c r="J335" s="3"/>
      <c r="K335" s="3"/>
      <c r="L335" s="3"/>
      <c r="M335" s="3"/>
      <c r="N335" s="6"/>
      <c r="O335" s="6"/>
      <c r="P335" s="6"/>
      <c r="Q335" s="6"/>
      <c r="R335" s="6"/>
      <c r="S335" s="6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18"/>
      <c r="J336" s="3"/>
      <c r="K336" s="3"/>
      <c r="L336" s="3"/>
      <c r="M336" s="3"/>
      <c r="N336" s="6"/>
      <c r="O336" s="6"/>
      <c r="P336" s="6"/>
      <c r="Q336" s="6"/>
      <c r="R336" s="6"/>
      <c r="S336" s="6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18"/>
      <c r="J337" s="3"/>
      <c r="K337" s="3"/>
      <c r="L337" s="3"/>
      <c r="M337" s="3"/>
      <c r="N337" s="6"/>
      <c r="O337" s="6"/>
      <c r="P337" s="6"/>
      <c r="Q337" s="6"/>
      <c r="R337" s="6"/>
      <c r="S337" s="6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18"/>
      <c r="J338" s="3"/>
      <c r="K338" s="3"/>
      <c r="L338" s="3"/>
      <c r="M338" s="3"/>
      <c r="N338" s="6"/>
      <c r="O338" s="6"/>
      <c r="P338" s="6"/>
      <c r="Q338" s="6"/>
      <c r="R338" s="6"/>
      <c r="S338" s="6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18"/>
      <c r="J339" s="3"/>
      <c r="K339" s="3"/>
      <c r="L339" s="3"/>
      <c r="M339" s="3"/>
      <c r="N339" s="6"/>
      <c r="O339" s="6"/>
      <c r="P339" s="6"/>
      <c r="Q339" s="6"/>
      <c r="R339" s="6"/>
      <c r="S339" s="6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18"/>
      <c r="J340" s="3"/>
      <c r="K340" s="3"/>
      <c r="L340" s="3"/>
      <c r="M340" s="3"/>
      <c r="N340" s="6"/>
      <c r="O340" s="6"/>
      <c r="P340" s="6"/>
      <c r="Q340" s="6"/>
      <c r="R340" s="6"/>
      <c r="S340" s="6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18"/>
      <c r="J341" s="3"/>
      <c r="K341" s="3"/>
      <c r="L341" s="3"/>
      <c r="M341" s="3"/>
      <c r="N341" s="6"/>
      <c r="O341" s="6"/>
      <c r="P341" s="6"/>
      <c r="Q341" s="6"/>
      <c r="R341" s="6"/>
      <c r="S341" s="6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18"/>
      <c r="J342" s="3"/>
      <c r="K342" s="3"/>
      <c r="L342" s="3"/>
      <c r="M342" s="3"/>
      <c r="N342" s="6"/>
      <c r="O342" s="6"/>
      <c r="P342" s="6"/>
      <c r="Q342" s="6"/>
      <c r="R342" s="6"/>
      <c r="S342" s="6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18"/>
      <c r="J343" s="3"/>
      <c r="K343" s="3"/>
      <c r="L343" s="3"/>
      <c r="M343" s="3"/>
      <c r="N343" s="6"/>
      <c r="O343" s="6"/>
      <c r="P343" s="6"/>
      <c r="Q343" s="6"/>
      <c r="R343" s="6"/>
      <c r="S343" s="6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18"/>
      <c r="J344" s="3"/>
      <c r="K344" s="3"/>
      <c r="L344" s="3"/>
      <c r="M344" s="3"/>
      <c r="N344" s="6"/>
      <c r="O344" s="6"/>
      <c r="P344" s="6"/>
      <c r="Q344" s="6"/>
      <c r="R344" s="6"/>
      <c r="S344" s="6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18"/>
      <c r="J345" s="3"/>
      <c r="K345" s="3"/>
      <c r="L345" s="3"/>
      <c r="M345" s="3"/>
      <c r="N345" s="6"/>
      <c r="O345" s="6"/>
      <c r="P345" s="6"/>
      <c r="Q345" s="6"/>
      <c r="R345" s="6"/>
      <c r="S345" s="6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18"/>
      <c r="J346" s="3"/>
      <c r="K346" s="3"/>
      <c r="L346" s="3"/>
      <c r="M346" s="3"/>
      <c r="N346" s="6"/>
      <c r="O346" s="6"/>
      <c r="P346" s="6"/>
      <c r="Q346" s="6"/>
      <c r="R346" s="6"/>
      <c r="S346" s="6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18"/>
      <c r="J347" s="3"/>
      <c r="K347" s="3"/>
      <c r="L347" s="3"/>
      <c r="M347" s="3"/>
      <c r="N347" s="6"/>
      <c r="O347" s="6"/>
      <c r="P347" s="6"/>
      <c r="Q347" s="6"/>
      <c r="R347" s="6"/>
      <c r="S347" s="6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18"/>
      <c r="J348" s="3"/>
      <c r="K348" s="3"/>
      <c r="L348" s="3"/>
      <c r="M348" s="3"/>
      <c r="N348" s="6"/>
      <c r="O348" s="6"/>
      <c r="P348" s="6"/>
      <c r="Q348" s="6"/>
      <c r="R348" s="6"/>
      <c r="S348" s="6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18"/>
      <c r="J349" s="3"/>
      <c r="K349" s="3"/>
      <c r="L349" s="3"/>
      <c r="M349" s="3"/>
      <c r="N349" s="6"/>
      <c r="O349" s="6"/>
      <c r="P349" s="6"/>
      <c r="Q349" s="6"/>
      <c r="R349" s="6"/>
      <c r="S349" s="6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18"/>
      <c r="J350" s="3"/>
      <c r="K350" s="3"/>
      <c r="L350" s="3"/>
      <c r="M350" s="3"/>
      <c r="N350" s="6"/>
      <c r="O350" s="6"/>
      <c r="P350" s="6"/>
      <c r="Q350" s="6"/>
      <c r="R350" s="6"/>
      <c r="S350" s="6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18"/>
      <c r="J351" s="3"/>
      <c r="K351" s="3"/>
      <c r="L351" s="3"/>
      <c r="M351" s="3"/>
      <c r="N351" s="6"/>
      <c r="O351" s="6"/>
      <c r="P351" s="6"/>
      <c r="Q351" s="6"/>
      <c r="R351" s="6"/>
      <c r="S351" s="6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18"/>
      <c r="J352" s="3"/>
      <c r="K352" s="3"/>
      <c r="L352" s="3"/>
      <c r="M352" s="3"/>
      <c r="N352" s="6"/>
      <c r="O352" s="6"/>
      <c r="P352" s="6"/>
      <c r="Q352" s="6"/>
      <c r="R352" s="6"/>
      <c r="S352" s="6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18"/>
      <c r="J353" s="3"/>
      <c r="K353" s="3"/>
      <c r="L353" s="3"/>
      <c r="M353" s="3"/>
      <c r="N353" s="6"/>
      <c r="O353" s="6"/>
      <c r="P353" s="6"/>
      <c r="Q353" s="6"/>
      <c r="R353" s="6"/>
      <c r="S353" s="6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18"/>
      <c r="J354" s="3"/>
      <c r="K354" s="3"/>
      <c r="L354" s="3"/>
      <c r="M354" s="3"/>
      <c r="N354" s="6"/>
      <c r="O354" s="6"/>
      <c r="P354" s="6"/>
      <c r="Q354" s="6"/>
      <c r="R354" s="6"/>
      <c r="S354" s="6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18"/>
      <c r="J355" s="3"/>
      <c r="K355" s="3"/>
      <c r="L355" s="3"/>
      <c r="M355" s="3"/>
      <c r="N355" s="6"/>
      <c r="O355" s="6"/>
      <c r="P355" s="6"/>
      <c r="Q355" s="6"/>
      <c r="R355" s="6"/>
      <c r="S355" s="6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18"/>
      <c r="J356" s="3"/>
      <c r="K356" s="3"/>
      <c r="L356" s="3"/>
      <c r="M356" s="3"/>
      <c r="N356" s="6"/>
      <c r="O356" s="6"/>
      <c r="P356" s="6"/>
      <c r="Q356" s="6"/>
      <c r="R356" s="6"/>
      <c r="S356" s="6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18"/>
      <c r="J357" s="3"/>
      <c r="K357" s="3"/>
      <c r="L357" s="3"/>
      <c r="M357" s="3"/>
      <c r="N357" s="6"/>
      <c r="O357" s="6"/>
      <c r="P357" s="6"/>
      <c r="Q357" s="6"/>
      <c r="R357" s="6"/>
      <c r="S357" s="6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18"/>
      <c r="J358" s="3"/>
      <c r="K358" s="3"/>
      <c r="L358" s="3"/>
      <c r="M358" s="3"/>
      <c r="N358" s="6"/>
      <c r="O358" s="6"/>
      <c r="P358" s="6"/>
      <c r="Q358" s="6"/>
      <c r="R358" s="6"/>
      <c r="S358" s="6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18"/>
      <c r="J359" s="3"/>
      <c r="K359" s="3"/>
      <c r="L359" s="3"/>
      <c r="M359" s="3"/>
      <c r="N359" s="6"/>
      <c r="O359" s="6"/>
      <c r="P359" s="6"/>
      <c r="Q359" s="6"/>
      <c r="R359" s="6"/>
      <c r="S359" s="6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18"/>
      <c r="J360" s="3"/>
      <c r="K360" s="3"/>
      <c r="L360" s="3"/>
      <c r="M360" s="3"/>
      <c r="N360" s="6"/>
      <c r="O360" s="6"/>
      <c r="P360" s="6"/>
      <c r="Q360" s="6"/>
      <c r="R360" s="6"/>
      <c r="S360" s="6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18"/>
      <c r="J361" s="3"/>
      <c r="K361" s="3"/>
      <c r="L361" s="3"/>
      <c r="M361" s="3"/>
      <c r="N361" s="6"/>
      <c r="O361" s="6"/>
      <c r="P361" s="6"/>
      <c r="Q361" s="6"/>
      <c r="R361" s="6"/>
      <c r="S361" s="6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18"/>
      <c r="J362" s="3"/>
      <c r="K362" s="3"/>
      <c r="L362" s="3"/>
      <c r="M362" s="3"/>
      <c r="N362" s="6"/>
      <c r="O362" s="6"/>
      <c r="P362" s="6"/>
      <c r="Q362" s="6"/>
      <c r="R362" s="6"/>
      <c r="S362" s="6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18"/>
      <c r="J363" s="3"/>
      <c r="K363" s="3"/>
      <c r="L363" s="3"/>
      <c r="M363" s="3"/>
      <c r="N363" s="6"/>
      <c r="O363" s="6"/>
      <c r="P363" s="6"/>
      <c r="Q363" s="6"/>
      <c r="R363" s="6"/>
      <c r="S363" s="6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18"/>
      <c r="J364" s="3"/>
      <c r="K364" s="3"/>
      <c r="L364" s="3"/>
      <c r="M364" s="3"/>
      <c r="N364" s="6"/>
      <c r="O364" s="6"/>
      <c r="P364" s="6"/>
      <c r="Q364" s="6"/>
      <c r="R364" s="6"/>
      <c r="S364" s="6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18"/>
      <c r="J365" s="3"/>
      <c r="K365" s="3"/>
      <c r="L365" s="3"/>
      <c r="M365" s="3"/>
      <c r="N365" s="6"/>
      <c r="O365" s="6"/>
      <c r="P365" s="6"/>
      <c r="Q365" s="6"/>
      <c r="R365" s="6"/>
      <c r="S365" s="6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18"/>
      <c r="J366" s="3"/>
      <c r="K366" s="3"/>
      <c r="L366" s="3"/>
      <c r="M366" s="3"/>
      <c r="N366" s="6"/>
      <c r="O366" s="6"/>
      <c r="P366" s="6"/>
      <c r="Q366" s="6"/>
      <c r="R366" s="6"/>
      <c r="S366" s="6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18"/>
      <c r="J367" s="3"/>
      <c r="K367" s="3"/>
      <c r="L367" s="3"/>
      <c r="M367" s="3"/>
      <c r="N367" s="6"/>
      <c r="O367" s="6"/>
      <c r="P367" s="6"/>
      <c r="Q367" s="6"/>
      <c r="R367" s="6"/>
      <c r="S367" s="6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18"/>
      <c r="J368" s="3"/>
      <c r="K368" s="3"/>
      <c r="L368" s="3"/>
      <c r="M368" s="3"/>
      <c r="N368" s="6"/>
      <c r="O368" s="6"/>
      <c r="P368" s="6"/>
      <c r="Q368" s="6"/>
      <c r="R368" s="6"/>
      <c r="S368" s="6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18"/>
      <c r="J369" s="3"/>
      <c r="K369" s="3"/>
      <c r="L369" s="3"/>
      <c r="M369" s="3"/>
      <c r="N369" s="6"/>
      <c r="O369" s="6"/>
      <c r="P369" s="6"/>
      <c r="Q369" s="6"/>
      <c r="R369" s="6"/>
      <c r="S369" s="6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18"/>
      <c r="J370" s="3"/>
      <c r="K370" s="3"/>
      <c r="L370" s="3"/>
      <c r="M370" s="3"/>
      <c r="N370" s="6"/>
      <c r="O370" s="6"/>
      <c r="P370" s="6"/>
      <c r="Q370" s="6"/>
      <c r="R370" s="6"/>
      <c r="S370" s="6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18"/>
      <c r="J371" s="3"/>
      <c r="K371" s="3"/>
      <c r="L371" s="3"/>
      <c r="M371" s="3"/>
      <c r="N371" s="6"/>
      <c r="O371" s="6"/>
      <c r="P371" s="6"/>
      <c r="Q371" s="6"/>
      <c r="R371" s="6"/>
      <c r="S371" s="6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18"/>
      <c r="J372" s="3"/>
      <c r="K372" s="3"/>
      <c r="L372" s="3"/>
      <c r="M372" s="3"/>
      <c r="N372" s="6"/>
      <c r="O372" s="6"/>
      <c r="P372" s="6"/>
      <c r="Q372" s="6"/>
      <c r="R372" s="6"/>
      <c r="S372" s="6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18"/>
      <c r="J373" s="3"/>
      <c r="K373" s="3"/>
      <c r="L373" s="3"/>
      <c r="M373" s="3"/>
      <c r="N373" s="6"/>
      <c r="O373" s="6"/>
      <c r="P373" s="6"/>
      <c r="Q373" s="6"/>
      <c r="R373" s="6"/>
      <c r="S373" s="6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18"/>
      <c r="J374" s="3"/>
      <c r="K374" s="3"/>
      <c r="L374" s="3"/>
      <c r="M374" s="3"/>
      <c r="N374" s="6"/>
      <c r="O374" s="6"/>
      <c r="P374" s="6"/>
      <c r="Q374" s="6"/>
      <c r="R374" s="6"/>
      <c r="S374" s="6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18"/>
      <c r="J375" s="3"/>
      <c r="K375" s="3"/>
      <c r="L375" s="3"/>
      <c r="M375" s="3"/>
      <c r="N375" s="6"/>
      <c r="O375" s="6"/>
      <c r="P375" s="6"/>
      <c r="Q375" s="6"/>
      <c r="R375" s="6"/>
      <c r="S375" s="6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18"/>
      <c r="J376" s="3"/>
      <c r="K376" s="3"/>
      <c r="L376" s="3"/>
      <c r="M376" s="3"/>
      <c r="N376" s="6"/>
      <c r="O376" s="6"/>
      <c r="P376" s="6"/>
      <c r="Q376" s="6"/>
      <c r="R376" s="6"/>
      <c r="S376" s="6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18"/>
      <c r="J377" s="3"/>
      <c r="K377" s="3"/>
      <c r="L377" s="3"/>
      <c r="M377" s="3"/>
      <c r="N377" s="6"/>
      <c r="O377" s="6"/>
      <c r="P377" s="6"/>
      <c r="Q377" s="6"/>
      <c r="R377" s="6"/>
      <c r="S377" s="6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18"/>
      <c r="J378" s="3"/>
      <c r="K378" s="3"/>
      <c r="L378" s="3"/>
      <c r="M378" s="3"/>
      <c r="N378" s="6"/>
      <c r="O378" s="6"/>
      <c r="P378" s="6"/>
      <c r="Q378" s="6"/>
      <c r="R378" s="6"/>
      <c r="S378" s="6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18"/>
      <c r="J379" s="3"/>
      <c r="K379" s="3"/>
      <c r="L379" s="3"/>
      <c r="M379" s="3"/>
      <c r="N379" s="6"/>
      <c r="O379" s="6"/>
      <c r="P379" s="6"/>
      <c r="Q379" s="6"/>
      <c r="R379" s="6"/>
      <c r="S379" s="6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18"/>
      <c r="J380" s="3"/>
      <c r="K380" s="3"/>
      <c r="L380" s="3"/>
      <c r="M380" s="3"/>
      <c r="N380" s="6"/>
      <c r="O380" s="6"/>
      <c r="P380" s="6"/>
      <c r="Q380" s="6"/>
      <c r="R380" s="6"/>
      <c r="S380" s="6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18"/>
      <c r="J381" s="3"/>
      <c r="K381" s="3"/>
      <c r="L381" s="3"/>
      <c r="M381" s="3"/>
      <c r="N381" s="6"/>
      <c r="O381" s="6"/>
      <c r="P381" s="6"/>
      <c r="Q381" s="6"/>
      <c r="R381" s="6"/>
      <c r="S381" s="6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18"/>
      <c r="J382" s="3"/>
      <c r="K382" s="3"/>
      <c r="L382" s="3"/>
      <c r="M382" s="3"/>
      <c r="N382" s="6"/>
      <c r="O382" s="6"/>
      <c r="P382" s="6"/>
      <c r="Q382" s="6"/>
      <c r="R382" s="6"/>
      <c r="S382" s="6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18"/>
      <c r="J383" s="3"/>
      <c r="K383" s="3"/>
      <c r="L383" s="3"/>
      <c r="M383" s="3"/>
      <c r="N383" s="6"/>
      <c r="O383" s="6"/>
      <c r="P383" s="6"/>
      <c r="Q383" s="6"/>
      <c r="R383" s="6"/>
      <c r="S383" s="6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18"/>
      <c r="J384" s="3"/>
      <c r="K384" s="3"/>
      <c r="L384" s="3"/>
      <c r="M384" s="3"/>
      <c r="N384" s="6"/>
      <c r="O384" s="6"/>
      <c r="P384" s="6"/>
      <c r="Q384" s="6"/>
      <c r="R384" s="6"/>
      <c r="S384" s="6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18"/>
      <c r="J385" s="3"/>
      <c r="K385" s="3"/>
      <c r="L385" s="3"/>
      <c r="M385" s="3"/>
      <c r="N385" s="6"/>
      <c r="O385" s="6"/>
      <c r="P385" s="6"/>
      <c r="Q385" s="6"/>
      <c r="R385" s="6"/>
      <c r="S385" s="6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18"/>
      <c r="J386" s="3"/>
      <c r="K386" s="3"/>
      <c r="L386" s="3"/>
      <c r="M386" s="3"/>
      <c r="N386" s="6"/>
      <c r="O386" s="6"/>
      <c r="P386" s="6"/>
      <c r="Q386" s="6"/>
      <c r="R386" s="6"/>
      <c r="S386" s="6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18"/>
      <c r="J387" s="3"/>
      <c r="K387" s="3"/>
      <c r="L387" s="3"/>
      <c r="M387" s="3"/>
      <c r="N387" s="6"/>
      <c r="O387" s="6"/>
      <c r="P387" s="6"/>
      <c r="Q387" s="6"/>
      <c r="R387" s="6"/>
      <c r="S387" s="6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18"/>
      <c r="J388" s="3"/>
      <c r="K388" s="3"/>
      <c r="L388" s="3"/>
      <c r="M388" s="3"/>
      <c r="N388" s="6"/>
      <c r="O388" s="6"/>
      <c r="P388" s="6"/>
      <c r="Q388" s="6"/>
      <c r="R388" s="6"/>
      <c r="S388" s="6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18"/>
      <c r="J389" s="3"/>
      <c r="K389" s="3"/>
      <c r="L389" s="3"/>
      <c r="M389" s="3"/>
      <c r="N389" s="6"/>
      <c r="O389" s="6"/>
      <c r="P389" s="6"/>
      <c r="Q389" s="6"/>
      <c r="R389" s="6"/>
      <c r="S389" s="6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18"/>
      <c r="J390" s="3"/>
      <c r="K390" s="3"/>
      <c r="L390" s="3"/>
      <c r="M390" s="3"/>
      <c r="N390" s="6"/>
      <c r="O390" s="6"/>
      <c r="P390" s="6"/>
      <c r="Q390" s="6"/>
      <c r="R390" s="6"/>
      <c r="S390" s="6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18"/>
      <c r="J391" s="3"/>
      <c r="K391" s="3"/>
      <c r="L391" s="3"/>
      <c r="M391" s="3"/>
      <c r="N391" s="6"/>
      <c r="O391" s="6"/>
      <c r="P391" s="6"/>
      <c r="Q391" s="6"/>
      <c r="R391" s="6"/>
      <c r="S391" s="6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18"/>
      <c r="J392" s="3"/>
      <c r="K392" s="3"/>
      <c r="L392" s="3"/>
      <c r="M392" s="3"/>
      <c r="N392" s="6"/>
      <c r="O392" s="6"/>
      <c r="P392" s="6"/>
      <c r="Q392" s="6"/>
      <c r="R392" s="6"/>
      <c r="S392" s="6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18"/>
      <c r="J393" s="3"/>
      <c r="K393" s="3"/>
      <c r="L393" s="3"/>
      <c r="M393" s="3"/>
      <c r="N393" s="6"/>
      <c r="O393" s="6"/>
      <c r="P393" s="6"/>
      <c r="Q393" s="6"/>
      <c r="R393" s="6"/>
      <c r="S393" s="6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18"/>
      <c r="J394" s="3"/>
      <c r="K394" s="3"/>
      <c r="L394" s="3"/>
      <c r="M394" s="3"/>
      <c r="N394" s="6"/>
      <c r="O394" s="6"/>
      <c r="P394" s="6"/>
      <c r="Q394" s="6"/>
      <c r="R394" s="6"/>
      <c r="S394" s="6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18"/>
      <c r="J395" s="3"/>
      <c r="K395" s="3"/>
      <c r="L395" s="3"/>
      <c r="M395" s="3"/>
      <c r="N395" s="6"/>
      <c r="O395" s="6"/>
      <c r="P395" s="6"/>
      <c r="Q395" s="6"/>
      <c r="R395" s="6"/>
      <c r="S395" s="6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18"/>
      <c r="J396" s="3"/>
      <c r="K396" s="3"/>
      <c r="L396" s="3"/>
      <c r="M396" s="3"/>
      <c r="N396" s="6"/>
      <c r="O396" s="6"/>
      <c r="P396" s="6"/>
      <c r="Q396" s="6"/>
      <c r="R396" s="6"/>
      <c r="S396" s="6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18"/>
      <c r="J397" s="3"/>
      <c r="K397" s="3"/>
      <c r="L397" s="3"/>
      <c r="M397" s="3"/>
      <c r="N397" s="6"/>
      <c r="O397" s="6"/>
      <c r="P397" s="6"/>
      <c r="Q397" s="6"/>
      <c r="R397" s="6"/>
      <c r="S397" s="6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18"/>
      <c r="J398" s="3"/>
      <c r="K398" s="3"/>
      <c r="L398" s="3"/>
      <c r="M398" s="3"/>
      <c r="N398" s="6"/>
      <c r="O398" s="6"/>
      <c r="P398" s="6"/>
      <c r="Q398" s="6"/>
      <c r="R398" s="6"/>
      <c r="S398" s="6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18"/>
      <c r="J399" s="3"/>
      <c r="K399" s="3"/>
      <c r="L399" s="3"/>
      <c r="M399" s="3"/>
      <c r="N399" s="6"/>
      <c r="O399" s="6"/>
      <c r="P399" s="6"/>
      <c r="Q399" s="6"/>
      <c r="R399" s="6"/>
      <c r="S399" s="6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18"/>
      <c r="J400" s="3"/>
      <c r="K400" s="3"/>
      <c r="L400" s="3"/>
      <c r="M400" s="3"/>
      <c r="N400" s="6"/>
      <c r="O400" s="6"/>
      <c r="P400" s="6"/>
      <c r="Q400" s="6"/>
      <c r="R400" s="6"/>
      <c r="S400" s="6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18"/>
      <c r="J401" s="3"/>
      <c r="K401" s="3"/>
      <c r="L401" s="3"/>
      <c r="M401" s="3"/>
      <c r="N401" s="6"/>
      <c r="O401" s="6"/>
      <c r="P401" s="6"/>
      <c r="Q401" s="6"/>
      <c r="R401" s="6"/>
      <c r="S401" s="6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18"/>
      <c r="J402" s="3"/>
      <c r="K402" s="3"/>
      <c r="L402" s="3"/>
      <c r="M402" s="3"/>
      <c r="N402" s="6"/>
      <c r="O402" s="6"/>
      <c r="P402" s="6"/>
      <c r="Q402" s="6"/>
      <c r="R402" s="6"/>
      <c r="S402" s="6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18"/>
      <c r="J403" s="3"/>
      <c r="K403" s="3"/>
      <c r="L403" s="3"/>
      <c r="M403" s="3"/>
      <c r="N403" s="6"/>
      <c r="O403" s="6"/>
      <c r="P403" s="6"/>
      <c r="Q403" s="6"/>
      <c r="R403" s="6"/>
      <c r="S403" s="6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18"/>
      <c r="J404" s="3"/>
      <c r="K404" s="3"/>
      <c r="L404" s="3"/>
      <c r="M404" s="3"/>
      <c r="N404" s="6"/>
      <c r="O404" s="6"/>
      <c r="P404" s="6"/>
      <c r="Q404" s="6"/>
      <c r="R404" s="6"/>
      <c r="S404" s="6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18"/>
      <c r="J405" s="3"/>
      <c r="K405" s="3"/>
      <c r="L405" s="3"/>
      <c r="M405" s="3"/>
      <c r="N405" s="6"/>
      <c r="O405" s="6"/>
      <c r="P405" s="6"/>
      <c r="Q405" s="6"/>
      <c r="R405" s="6"/>
      <c r="S405" s="6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18"/>
      <c r="J406" s="3"/>
      <c r="K406" s="3"/>
      <c r="L406" s="3"/>
      <c r="M406" s="3"/>
      <c r="N406" s="6"/>
      <c r="O406" s="6"/>
      <c r="P406" s="6"/>
      <c r="Q406" s="6"/>
      <c r="R406" s="6"/>
      <c r="S406" s="6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18"/>
      <c r="J407" s="3"/>
      <c r="K407" s="3"/>
      <c r="L407" s="3"/>
      <c r="M407" s="3"/>
      <c r="N407" s="6"/>
      <c r="O407" s="6"/>
      <c r="P407" s="6"/>
      <c r="Q407" s="6"/>
      <c r="R407" s="6"/>
      <c r="S407" s="6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18"/>
      <c r="J408" s="3"/>
      <c r="K408" s="3"/>
      <c r="L408" s="3"/>
      <c r="M408" s="3"/>
      <c r="N408" s="6"/>
      <c r="O408" s="6"/>
      <c r="P408" s="6"/>
      <c r="Q408" s="6"/>
      <c r="R408" s="6"/>
      <c r="S408" s="6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18"/>
      <c r="J409" s="3"/>
      <c r="K409" s="3"/>
      <c r="L409" s="3"/>
      <c r="M409" s="3"/>
      <c r="N409" s="6"/>
      <c r="O409" s="6"/>
      <c r="P409" s="6"/>
      <c r="Q409" s="6"/>
      <c r="R409" s="6"/>
      <c r="S409" s="6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18"/>
      <c r="J410" s="3"/>
      <c r="K410" s="3"/>
      <c r="L410" s="3"/>
      <c r="M410" s="3"/>
      <c r="N410" s="6"/>
      <c r="O410" s="6"/>
      <c r="P410" s="6"/>
      <c r="Q410" s="6"/>
      <c r="R410" s="6"/>
      <c r="S410" s="6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18"/>
      <c r="J411" s="3"/>
      <c r="K411" s="3"/>
      <c r="L411" s="3"/>
      <c r="M411" s="3"/>
      <c r="N411" s="6"/>
      <c r="O411" s="6"/>
      <c r="P411" s="6"/>
      <c r="Q411" s="6"/>
      <c r="R411" s="6"/>
      <c r="S411" s="6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18"/>
      <c r="J412" s="3"/>
      <c r="K412" s="3"/>
      <c r="L412" s="3"/>
      <c r="M412" s="3"/>
      <c r="N412" s="6"/>
      <c r="O412" s="6"/>
      <c r="P412" s="6"/>
      <c r="Q412" s="6"/>
      <c r="R412" s="6"/>
      <c r="S412" s="6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18"/>
      <c r="J413" s="3"/>
      <c r="K413" s="3"/>
      <c r="L413" s="3"/>
      <c r="M413" s="3"/>
      <c r="N413" s="6"/>
      <c r="O413" s="6"/>
      <c r="P413" s="6"/>
      <c r="Q413" s="6"/>
      <c r="R413" s="6"/>
      <c r="S413" s="6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18"/>
      <c r="J414" s="3"/>
      <c r="K414" s="3"/>
      <c r="L414" s="3"/>
      <c r="M414" s="3"/>
      <c r="N414" s="6"/>
      <c r="O414" s="6"/>
      <c r="P414" s="6"/>
      <c r="Q414" s="6"/>
      <c r="R414" s="6"/>
      <c r="S414" s="6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18"/>
      <c r="J415" s="3"/>
      <c r="K415" s="3"/>
      <c r="L415" s="3"/>
      <c r="M415" s="3"/>
      <c r="N415" s="6"/>
      <c r="O415" s="6"/>
      <c r="P415" s="6"/>
      <c r="Q415" s="6"/>
      <c r="R415" s="6"/>
      <c r="S415" s="6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18"/>
      <c r="J416" s="3"/>
      <c r="K416" s="3"/>
      <c r="L416" s="3"/>
      <c r="M416" s="3"/>
      <c r="N416" s="6"/>
      <c r="O416" s="6"/>
      <c r="P416" s="6"/>
      <c r="Q416" s="6"/>
      <c r="R416" s="6"/>
      <c r="S416" s="6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18"/>
      <c r="J417" s="3"/>
      <c r="K417" s="3"/>
      <c r="L417" s="3"/>
      <c r="M417" s="3"/>
      <c r="N417" s="6"/>
      <c r="O417" s="6"/>
      <c r="P417" s="6"/>
      <c r="Q417" s="6"/>
      <c r="R417" s="6"/>
      <c r="S417" s="6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18"/>
      <c r="J418" s="3"/>
      <c r="K418" s="3"/>
      <c r="L418" s="3"/>
      <c r="M418" s="3"/>
      <c r="N418" s="6"/>
      <c r="O418" s="6"/>
      <c r="P418" s="6"/>
      <c r="Q418" s="6"/>
      <c r="R418" s="6"/>
      <c r="S418" s="6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18"/>
      <c r="J419" s="3"/>
      <c r="K419" s="3"/>
      <c r="L419" s="3"/>
      <c r="M419" s="3"/>
      <c r="N419" s="6"/>
      <c r="O419" s="6"/>
      <c r="P419" s="6"/>
      <c r="Q419" s="6"/>
      <c r="R419" s="6"/>
      <c r="S419" s="6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18"/>
      <c r="J420" s="3"/>
      <c r="K420" s="3"/>
      <c r="L420" s="3"/>
      <c r="M420" s="3"/>
      <c r="N420" s="6"/>
      <c r="O420" s="6"/>
      <c r="P420" s="6"/>
      <c r="Q420" s="6"/>
      <c r="R420" s="6"/>
      <c r="S420" s="6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18"/>
      <c r="J421" s="3"/>
      <c r="K421" s="3"/>
      <c r="L421" s="3"/>
      <c r="M421" s="3"/>
      <c r="N421" s="6"/>
      <c r="O421" s="6"/>
      <c r="P421" s="6"/>
      <c r="Q421" s="6"/>
      <c r="R421" s="6"/>
      <c r="S421" s="6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18"/>
      <c r="J422" s="3"/>
      <c r="K422" s="3"/>
      <c r="L422" s="3"/>
      <c r="M422" s="3"/>
      <c r="N422" s="6"/>
      <c r="O422" s="6"/>
      <c r="P422" s="6"/>
      <c r="Q422" s="6"/>
      <c r="R422" s="6"/>
      <c r="S422" s="6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18"/>
      <c r="J423" s="3"/>
      <c r="K423" s="3"/>
      <c r="L423" s="3"/>
      <c r="M423" s="3"/>
      <c r="N423" s="6"/>
      <c r="O423" s="6"/>
      <c r="P423" s="6"/>
      <c r="Q423" s="6"/>
      <c r="R423" s="6"/>
      <c r="S423" s="6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18"/>
      <c r="J424" s="3"/>
      <c r="K424" s="3"/>
      <c r="L424" s="3"/>
      <c r="M424" s="3"/>
      <c r="N424" s="6"/>
      <c r="O424" s="6"/>
      <c r="P424" s="6"/>
      <c r="Q424" s="6"/>
      <c r="R424" s="6"/>
      <c r="S424" s="6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18"/>
      <c r="J425" s="3"/>
      <c r="K425" s="3"/>
      <c r="L425" s="3"/>
      <c r="M425" s="3"/>
      <c r="N425" s="6"/>
      <c r="O425" s="6"/>
      <c r="P425" s="6"/>
      <c r="Q425" s="6"/>
      <c r="R425" s="6"/>
      <c r="S425" s="6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18"/>
      <c r="J426" s="3"/>
      <c r="K426" s="3"/>
      <c r="L426" s="3"/>
      <c r="M426" s="3"/>
      <c r="N426" s="6"/>
      <c r="O426" s="6"/>
      <c r="P426" s="6"/>
      <c r="Q426" s="6"/>
      <c r="R426" s="6"/>
      <c r="S426" s="6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18"/>
      <c r="J427" s="3"/>
      <c r="K427" s="3"/>
      <c r="L427" s="3"/>
      <c r="M427" s="3"/>
      <c r="N427" s="6"/>
      <c r="O427" s="6"/>
      <c r="P427" s="6"/>
      <c r="Q427" s="6"/>
      <c r="R427" s="6"/>
      <c r="S427" s="6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18"/>
      <c r="J428" s="3"/>
      <c r="K428" s="3"/>
      <c r="L428" s="3"/>
      <c r="M428" s="3"/>
      <c r="N428" s="6"/>
      <c r="O428" s="6"/>
      <c r="P428" s="6"/>
      <c r="Q428" s="6"/>
      <c r="R428" s="6"/>
      <c r="S428" s="6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18"/>
      <c r="J429" s="3"/>
      <c r="K429" s="3"/>
      <c r="L429" s="3"/>
      <c r="M429" s="3"/>
      <c r="N429" s="6"/>
      <c r="O429" s="6"/>
      <c r="P429" s="6"/>
      <c r="Q429" s="6"/>
      <c r="R429" s="6"/>
      <c r="S429" s="6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18"/>
      <c r="J430" s="3"/>
      <c r="K430" s="3"/>
      <c r="L430" s="3"/>
      <c r="M430" s="3"/>
      <c r="N430" s="6"/>
      <c r="O430" s="6"/>
      <c r="P430" s="6"/>
      <c r="Q430" s="6"/>
      <c r="R430" s="6"/>
      <c r="S430" s="6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18"/>
      <c r="J431" s="3"/>
      <c r="K431" s="3"/>
      <c r="L431" s="3"/>
      <c r="M431" s="3"/>
      <c r="N431" s="6"/>
      <c r="O431" s="6"/>
      <c r="P431" s="6"/>
      <c r="Q431" s="6"/>
      <c r="R431" s="6"/>
      <c r="S431" s="6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18"/>
      <c r="J432" s="3"/>
      <c r="K432" s="3"/>
      <c r="L432" s="3"/>
      <c r="M432" s="3"/>
      <c r="N432" s="6"/>
      <c r="O432" s="6"/>
      <c r="P432" s="6"/>
      <c r="Q432" s="6"/>
      <c r="R432" s="6"/>
      <c r="S432" s="6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18"/>
      <c r="J433" s="3"/>
      <c r="K433" s="3"/>
      <c r="L433" s="3"/>
      <c r="M433" s="3"/>
      <c r="N433" s="6"/>
      <c r="O433" s="6"/>
      <c r="P433" s="6"/>
      <c r="Q433" s="6"/>
      <c r="R433" s="6"/>
      <c r="S433" s="6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18"/>
      <c r="J434" s="3"/>
      <c r="K434" s="3"/>
      <c r="L434" s="3"/>
      <c r="M434" s="3"/>
      <c r="N434" s="6"/>
      <c r="O434" s="6"/>
      <c r="P434" s="6"/>
      <c r="Q434" s="6"/>
      <c r="R434" s="6"/>
      <c r="S434" s="6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18"/>
      <c r="J435" s="3"/>
      <c r="K435" s="3"/>
      <c r="L435" s="3"/>
      <c r="M435" s="3"/>
      <c r="N435" s="6"/>
      <c r="O435" s="6"/>
      <c r="P435" s="6"/>
      <c r="Q435" s="6"/>
      <c r="R435" s="6"/>
      <c r="S435" s="6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18"/>
      <c r="J436" s="3"/>
      <c r="K436" s="3"/>
      <c r="L436" s="3"/>
      <c r="M436" s="3"/>
      <c r="N436" s="6"/>
      <c r="O436" s="6"/>
      <c r="P436" s="6"/>
      <c r="Q436" s="6"/>
      <c r="R436" s="6"/>
      <c r="S436" s="6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18"/>
      <c r="J437" s="3"/>
      <c r="K437" s="3"/>
      <c r="L437" s="3"/>
      <c r="M437" s="3"/>
      <c r="N437" s="6"/>
      <c r="O437" s="6"/>
      <c r="P437" s="6"/>
      <c r="Q437" s="6"/>
      <c r="R437" s="6"/>
      <c r="S437" s="6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18"/>
      <c r="J438" s="3"/>
      <c r="K438" s="3"/>
      <c r="L438" s="3"/>
      <c r="M438" s="3"/>
      <c r="N438" s="6"/>
      <c r="O438" s="6"/>
      <c r="P438" s="6"/>
      <c r="Q438" s="6"/>
      <c r="R438" s="6"/>
      <c r="S438" s="6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18"/>
      <c r="J439" s="3"/>
      <c r="K439" s="3"/>
      <c r="L439" s="3"/>
      <c r="M439" s="3"/>
      <c r="N439" s="6"/>
      <c r="O439" s="6"/>
      <c r="P439" s="6"/>
      <c r="Q439" s="6"/>
      <c r="R439" s="6"/>
      <c r="S439" s="6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18"/>
      <c r="J440" s="3"/>
      <c r="K440" s="3"/>
      <c r="L440" s="3"/>
      <c r="M440" s="3"/>
      <c r="N440" s="6"/>
      <c r="O440" s="6"/>
      <c r="P440" s="6"/>
      <c r="Q440" s="6"/>
      <c r="R440" s="6"/>
      <c r="S440" s="6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18"/>
      <c r="J441" s="3"/>
      <c r="K441" s="3"/>
      <c r="L441" s="3"/>
      <c r="M441" s="3"/>
      <c r="N441" s="6"/>
      <c r="O441" s="6"/>
      <c r="P441" s="6"/>
      <c r="Q441" s="6"/>
      <c r="R441" s="6"/>
      <c r="S441" s="6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18"/>
      <c r="J442" s="3"/>
      <c r="K442" s="3"/>
      <c r="L442" s="3"/>
      <c r="M442" s="3"/>
      <c r="N442" s="6"/>
      <c r="O442" s="6"/>
      <c r="P442" s="6"/>
      <c r="Q442" s="6"/>
      <c r="R442" s="6"/>
      <c r="S442" s="6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18"/>
      <c r="J443" s="3"/>
      <c r="K443" s="3"/>
      <c r="L443" s="3"/>
      <c r="M443" s="3"/>
      <c r="N443" s="6"/>
      <c r="O443" s="6"/>
      <c r="P443" s="6"/>
      <c r="Q443" s="6"/>
      <c r="R443" s="6"/>
      <c r="S443" s="6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18"/>
      <c r="J444" s="3"/>
      <c r="K444" s="3"/>
      <c r="L444" s="3"/>
      <c r="M444" s="3"/>
      <c r="N444" s="6"/>
      <c r="O444" s="6"/>
      <c r="P444" s="6"/>
      <c r="Q444" s="6"/>
      <c r="R444" s="6"/>
      <c r="S444" s="6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18"/>
      <c r="J445" s="3"/>
      <c r="K445" s="3"/>
      <c r="L445" s="3"/>
      <c r="M445" s="3"/>
      <c r="N445" s="6"/>
      <c r="O445" s="6"/>
      <c r="P445" s="6"/>
      <c r="Q445" s="6"/>
      <c r="R445" s="6"/>
      <c r="S445" s="6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18"/>
      <c r="J446" s="3"/>
      <c r="K446" s="3"/>
      <c r="L446" s="3"/>
      <c r="M446" s="3"/>
      <c r="N446" s="6"/>
      <c r="O446" s="6"/>
      <c r="P446" s="6"/>
      <c r="Q446" s="6"/>
      <c r="R446" s="6"/>
      <c r="S446" s="6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18"/>
      <c r="J447" s="3"/>
      <c r="K447" s="3"/>
      <c r="L447" s="3"/>
      <c r="M447" s="3"/>
      <c r="N447" s="6"/>
      <c r="O447" s="6"/>
      <c r="P447" s="6"/>
      <c r="Q447" s="6"/>
      <c r="R447" s="6"/>
      <c r="S447" s="6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18"/>
      <c r="J448" s="3"/>
      <c r="K448" s="3"/>
      <c r="L448" s="3"/>
      <c r="M448" s="3"/>
      <c r="N448" s="6"/>
      <c r="O448" s="6"/>
      <c r="P448" s="6"/>
      <c r="Q448" s="6"/>
      <c r="R448" s="6"/>
      <c r="S448" s="6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18"/>
      <c r="J449" s="3"/>
      <c r="K449" s="3"/>
      <c r="L449" s="3"/>
      <c r="M449" s="3"/>
      <c r="N449" s="6"/>
      <c r="O449" s="6"/>
      <c r="P449" s="6"/>
      <c r="Q449" s="6"/>
      <c r="R449" s="6"/>
      <c r="S449" s="6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18"/>
      <c r="J450" s="3"/>
      <c r="K450" s="3"/>
      <c r="L450" s="3"/>
      <c r="M450" s="3"/>
      <c r="N450" s="6"/>
      <c r="O450" s="6"/>
      <c r="P450" s="6"/>
      <c r="Q450" s="6"/>
      <c r="R450" s="6"/>
      <c r="S450" s="6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18"/>
      <c r="J451" s="3"/>
      <c r="K451" s="3"/>
      <c r="L451" s="3"/>
      <c r="M451" s="3"/>
      <c r="N451" s="6"/>
      <c r="O451" s="6"/>
      <c r="P451" s="6"/>
      <c r="Q451" s="6"/>
      <c r="R451" s="6"/>
      <c r="S451" s="6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18"/>
      <c r="J452" s="3"/>
      <c r="K452" s="3"/>
      <c r="L452" s="3"/>
      <c r="M452" s="3"/>
      <c r="N452" s="6"/>
      <c r="O452" s="6"/>
      <c r="P452" s="6"/>
      <c r="Q452" s="6"/>
      <c r="R452" s="6"/>
      <c r="S452" s="6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18"/>
      <c r="J453" s="3"/>
      <c r="K453" s="3"/>
      <c r="L453" s="3"/>
      <c r="M453" s="3"/>
      <c r="N453" s="6"/>
      <c r="O453" s="6"/>
      <c r="P453" s="6"/>
      <c r="Q453" s="6"/>
      <c r="R453" s="6"/>
      <c r="S453" s="6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18"/>
      <c r="J454" s="3"/>
      <c r="K454" s="3"/>
      <c r="L454" s="3"/>
      <c r="M454" s="3"/>
      <c r="N454" s="6"/>
      <c r="O454" s="6"/>
      <c r="P454" s="6"/>
      <c r="Q454" s="6"/>
      <c r="R454" s="6"/>
      <c r="S454" s="6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18"/>
      <c r="J455" s="3"/>
      <c r="K455" s="3"/>
      <c r="L455" s="3"/>
      <c r="M455" s="3"/>
      <c r="N455" s="6"/>
      <c r="O455" s="6"/>
      <c r="P455" s="6"/>
      <c r="Q455" s="6"/>
      <c r="R455" s="6"/>
      <c r="S455" s="6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18"/>
      <c r="J456" s="3"/>
      <c r="K456" s="3"/>
      <c r="L456" s="3"/>
      <c r="M456" s="3"/>
      <c r="N456" s="6"/>
      <c r="O456" s="6"/>
      <c r="P456" s="6"/>
      <c r="Q456" s="6"/>
      <c r="R456" s="6"/>
      <c r="S456" s="6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18"/>
      <c r="J457" s="3"/>
      <c r="K457" s="3"/>
      <c r="L457" s="3"/>
      <c r="M457" s="3"/>
      <c r="N457" s="6"/>
      <c r="O457" s="6"/>
      <c r="P457" s="6"/>
      <c r="Q457" s="6"/>
      <c r="R457" s="6"/>
      <c r="S457" s="6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18"/>
      <c r="J458" s="3"/>
      <c r="K458" s="3"/>
      <c r="L458" s="3"/>
      <c r="M458" s="3"/>
      <c r="N458" s="6"/>
      <c r="O458" s="6"/>
      <c r="P458" s="6"/>
      <c r="Q458" s="6"/>
      <c r="R458" s="6"/>
      <c r="S458" s="6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18"/>
      <c r="J459" s="3"/>
      <c r="K459" s="3"/>
      <c r="L459" s="3"/>
      <c r="M459" s="3"/>
      <c r="N459" s="6"/>
      <c r="O459" s="6"/>
      <c r="P459" s="6"/>
      <c r="Q459" s="6"/>
      <c r="R459" s="6"/>
      <c r="S459" s="6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18"/>
      <c r="J460" s="3"/>
      <c r="K460" s="3"/>
      <c r="L460" s="3"/>
      <c r="M460" s="3"/>
      <c r="N460" s="6"/>
      <c r="O460" s="6"/>
      <c r="P460" s="6"/>
      <c r="Q460" s="6"/>
      <c r="R460" s="6"/>
      <c r="S460" s="6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18"/>
      <c r="J461" s="3"/>
      <c r="K461" s="3"/>
      <c r="L461" s="3"/>
      <c r="M461" s="3"/>
      <c r="N461" s="6"/>
      <c r="O461" s="6"/>
      <c r="P461" s="6"/>
      <c r="Q461" s="6"/>
      <c r="R461" s="6"/>
      <c r="S461" s="6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18"/>
      <c r="J462" s="3"/>
      <c r="K462" s="3"/>
      <c r="L462" s="3"/>
      <c r="M462" s="3"/>
      <c r="N462" s="6"/>
      <c r="O462" s="6"/>
      <c r="P462" s="6"/>
      <c r="Q462" s="6"/>
      <c r="R462" s="6"/>
      <c r="S462" s="6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18"/>
      <c r="J463" s="3"/>
      <c r="K463" s="3"/>
      <c r="L463" s="3"/>
      <c r="M463" s="3"/>
      <c r="N463" s="6"/>
      <c r="O463" s="6"/>
      <c r="P463" s="6"/>
      <c r="Q463" s="6"/>
      <c r="R463" s="6"/>
      <c r="S463" s="6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18"/>
      <c r="J464" s="3"/>
      <c r="K464" s="3"/>
      <c r="L464" s="3"/>
      <c r="M464" s="3"/>
      <c r="N464" s="6"/>
      <c r="O464" s="6"/>
      <c r="P464" s="6"/>
      <c r="Q464" s="6"/>
      <c r="R464" s="6"/>
      <c r="S464" s="6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18"/>
      <c r="J465" s="3"/>
      <c r="K465" s="3"/>
      <c r="L465" s="3"/>
      <c r="M465" s="3"/>
      <c r="N465" s="6"/>
      <c r="O465" s="6"/>
      <c r="P465" s="6"/>
      <c r="Q465" s="6"/>
      <c r="R465" s="6"/>
      <c r="S465" s="6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18"/>
      <c r="J466" s="3"/>
      <c r="K466" s="3"/>
      <c r="L466" s="3"/>
      <c r="M466" s="3"/>
      <c r="N466" s="6"/>
      <c r="O466" s="6"/>
      <c r="P466" s="6"/>
      <c r="Q466" s="6"/>
      <c r="R466" s="6"/>
      <c r="S466" s="6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18"/>
      <c r="J467" s="3"/>
      <c r="K467" s="3"/>
      <c r="L467" s="3"/>
      <c r="M467" s="3"/>
      <c r="N467" s="6"/>
      <c r="O467" s="6"/>
      <c r="P467" s="6"/>
      <c r="Q467" s="6"/>
      <c r="R467" s="6"/>
      <c r="S467" s="6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18"/>
      <c r="J468" s="3"/>
      <c r="K468" s="3"/>
      <c r="L468" s="3"/>
      <c r="M468" s="3"/>
      <c r="N468" s="6"/>
      <c r="O468" s="6"/>
      <c r="P468" s="6"/>
      <c r="Q468" s="6"/>
      <c r="R468" s="6"/>
      <c r="S468" s="6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18"/>
      <c r="J469" s="3"/>
      <c r="K469" s="3"/>
      <c r="L469" s="3"/>
      <c r="M469" s="3"/>
      <c r="N469" s="6"/>
      <c r="O469" s="6"/>
      <c r="P469" s="6"/>
      <c r="Q469" s="6"/>
      <c r="R469" s="6"/>
      <c r="S469" s="6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18"/>
      <c r="J470" s="3"/>
      <c r="K470" s="3"/>
      <c r="L470" s="3"/>
      <c r="M470" s="3"/>
      <c r="N470" s="6"/>
      <c r="O470" s="6"/>
      <c r="P470" s="6"/>
      <c r="Q470" s="6"/>
      <c r="R470" s="6"/>
      <c r="S470" s="6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18"/>
      <c r="J471" s="3"/>
      <c r="K471" s="3"/>
      <c r="L471" s="3"/>
      <c r="M471" s="3"/>
      <c r="N471" s="6"/>
      <c r="O471" s="6"/>
      <c r="P471" s="6"/>
      <c r="Q471" s="6"/>
      <c r="R471" s="6"/>
      <c r="S471" s="6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18"/>
      <c r="J472" s="3"/>
      <c r="K472" s="3"/>
      <c r="L472" s="3"/>
      <c r="M472" s="3"/>
      <c r="N472" s="6"/>
      <c r="O472" s="6"/>
      <c r="P472" s="6"/>
      <c r="Q472" s="6"/>
      <c r="R472" s="6"/>
      <c r="S472" s="6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18"/>
      <c r="J473" s="3"/>
      <c r="K473" s="3"/>
      <c r="L473" s="3"/>
      <c r="M473" s="3"/>
      <c r="N473" s="6"/>
      <c r="O473" s="6"/>
      <c r="P473" s="6"/>
      <c r="Q473" s="6"/>
      <c r="R473" s="6"/>
      <c r="S473" s="6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18"/>
      <c r="J474" s="3"/>
      <c r="K474" s="3"/>
      <c r="L474" s="3"/>
      <c r="M474" s="3"/>
      <c r="N474" s="6"/>
      <c r="O474" s="6"/>
      <c r="P474" s="6"/>
      <c r="Q474" s="6"/>
      <c r="R474" s="6"/>
      <c r="S474" s="6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18"/>
      <c r="J475" s="3"/>
      <c r="K475" s="3"/>
      <c r="L475" s="3"/>
      <c r="M475" s="3"/>
      <c r="N475" s="6"/>
      <c r="O475" s="6"/>
      <c r="P475" s="6"/>
      <c r="Q475" s="6"/>
      <c r="R475" s="6"/>
      <c r="S475" s="6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18"/>
      <c r="J476" s="3"/>
      <c r="K476" s="3"/>
      <c r="L476" s="3"/>
      <c r="M476" s="3"/>
      <c r="N476" s="6"/>
      <c r="O476" s="6"/>
      <c r="P476" s="6"/>
      <c r="Q476" s="6"/>
      <c r="R476" s="6"/>
      <c r="S476" s="6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18"/>
      <c r="J477" s="3"/>
      <c r="K477" s="3"/>
      <c r="L477" s="3"/>
      <c r="M477" s="3"/>
      <c r="N477" s="6"/>
      <c r="O477" s="6"/>
      <c r="P477" s="6"/>
      <c r="Q477" s="6"/>
      <c r="R477" s="6"/>
      <c r="S477" s="6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18"/>
      <c r="J478" s="3"/>
      <c r="K478" s="3"/>
      <c r="L478" s="3"/>
      <c r="M478" s="3"/>
      <c r="N478" s="6"/>
      <c r="O478" s="6"/>
      <c r="P478" s="6"/>
      <c r="Q478" s="6"/>
      <c r="R478" s="6"/>
      <c r="S478" s="6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18"/>
      <c r="J479" s="3"/>
      <c r="K479" s="3"/>
      <c r="L479" s="3"/>
      <c r="M479" s="3"/>
      <c r="N479" s="6"/>
      <c r="O479" s="6"/>
      <c r="P479" s="6"/>
      <c r="Q479" s="6"/>
      <c r="R479" s="6"/>
      <c r="S479" s="6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18"/>
      <c r="J480" s="3"/>
      <c r="K480" s="3"/>
      <c r="L480" s="3"/>
      <c r="M480" s="3"/>
      <c r="N480" s="6"/>
      <c r="O480" s="6"/>
      <c r="P480" s="6"/>
      <c r="Q480" s="6"/>
      <c r="R480" s="6"/>
      <c r="S480" s="6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18"/>
      <c r="J481" s="3"/>
      <c r="K481" s="3"/>
      <c r="L481" s="3"/>
      <c r="M481" s="3"/>
      <c r="N481" s="6"/>
      <c r="O481" s="6"/>
      <c r="P481" s="6"/>
      <c r="Q481" s="6"/>
      <c r="R481" s="6"/>
      <c r="S481" s="6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18"/>
      <c r="J482" s="3"/>
      <c r="K482" s="3"/>
      <c r="L482" s="3"/>
      <c r="M482" s="3"/>
      <c r="N482" s="6"/>
      <c r="O482" s="6"/>
      <c r="P482" s="6"/>
      <c r="Q482" s="6"/>
      <c r="R482" s="6"/>
      <c r="S482" s="6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18"/>
      <c r="J483" s="3"/>
      <c r="K483" s="3"/>
      <c r="L483" s="3"/>
      <c r="M483" s="3"/>
      <c r="N483" s="6"/>
      <c r="O483" s="6"/>
      <c r="P483" s="6"/>
      <c r="Q483" s="6"/>
      <c r="R483" s="6"/>
      <c r="S483" s="6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18"/>
      <c r="J484" s="3"/>
      <c r="K484" s="3"/>
      <c r="L484" s="3"/>
      <c r="M484" s="3"/>
      <c r="N484" s="6"/>
      <c r="O484" s="6"/>
      <c r="P484" s="6"/>
      <c r="Q484" s="6"/>
      <c r="R484" s="6"/>
      <c r="S484" s="6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18"/>
      <c r="J485" s="3"/>
      <c r="K485" s="3"/>
      <c r="L485" s="3"/>
      <c r="M485" s="3"/>
      <c r="N485" s="6"/>
      <c r="O485" s="6"/>
      <c r="P485" s="6"/>
      <c r="Q485" s="6"/>
      <c r="R485" s="6"/>
      <c r="S485" s="6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18"/>
      <c r="J486" s="3"/>
      <c r="K486" s="3"/>
      <c r="L486" s="3"/>
      <c r="M486" s="3"/>
      <c r="N486" s="6"/>
      <c r="O486" s="6"/>
      <c r="P486" s="6"/>
      <c r="Q486" s="6"/>
      <c r="R486" s="6"/>
      <c r="S486" s="6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18"/>
      <c r="J487" s="3"/>
      <c r="K487" s="3"/>
      <c r="L487" s="3"/>
      <c r="M487" s="3"/>
      <c r="N487" s="6"/>
      <c r="O487" s="6"/>
      <c r="P487" s="6"/>
      <c r="Q487" s="6"/>
      <c r="R487" s="6"/>
      <c r="S487" s="6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18"/>
      <c r="J488" s="3"/>
      <c r="K488" s="3"/>
      <c r="L488" s="3"/>
      <c r="M488" s="3"/>
      <c r="N488" s="6"/>
      <c r="O488" s="6"/>
      <c r="P488" s="6"/>
      <c r="Q488" s="6"/>
      <c r="R488" s="6"/>
      <c r="S488" s="6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18"/>
      <c r="J489" s="3"/>
      <c r="K489" s="3"/>
      <c r="L489" s="3"/>
      <c r="M489" s="3"/>
      <c r="N489" s="6"/>
      <c r="O489" s="6"/>
      <c r="P489" s="6"/>
      <c r="Q489" s="6"/>
      <c r="R489" s="6"/>
      <c r="S489" s="6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18"/>
      <c r="J490" s="3"/>
      <c r="K490" s="3"/>
      <c r="L490" s="3"/>
      <c r="M490" s="3"/>
      <c r="N490" s="6"/>
      <c r="O490" s="6"/>
      <c r="P490" s="6"/>
      <c r="Q490" s="6"/>
      <c r="R490" s="6"/>
      <c r="S490" s="6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18"/>
      <c r="J491" s="3"/>
      <c r="K491" s="3"/>
      <c r="L491" s="3"/>
      <c r="M491" s="3"/>
      <c r="N491" s="6"/>
      <c r="O491" s="6"/>
      <c r="P491" s="6"/>
      <c r="Q491" s="6"/>
      <c r="R491" s="6"/>
      <c r="S491" s="6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18"/>
      <c r="J492" s="3"/>
      <c r="K492" s="3"/>
      <c r="L492" s="3"/>
      <c r="M492" s="3"/>
      <c r="N492" s="6"/>
      <c r="O492" s="6"/>
      <c r="P492" s="6"/>
      <c r="Q492" s="6"/>
      <c r="R492" s="6"/>
      <c r="S492" s="6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18"/>
      <c r="J493" s="3"/>
      <c r="K493" s="3"/>
      <c r="L493" s="3"/>
      <c r="M493" s="3"/>
      <c r="N493" s="6"/>
      <c r="O493" s="6"/>
      <c r="P493" s="6"/>
      <c r="Q493" s="6"/>
      <c r="R493" s="6"/>
      <c r="S493" s="6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18"/>
      <c r="J494" s="3"/>
      <c r="K494" s="3"/>
      <c r="L494" s="3"/>
      <c r="M494" s="3"/>
      <c r="N494" s="6"/>
      <c r="O494" s="6"/>
      <c r="P494" s="6"/>
      <c r="Q494" s="6"/>
      <c r="R494" s="6"/>
      <c r="S494" s="6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18"/>
      <c r="J495" s="3"/>
      <c r="K495" s="3"/>
      <c r="L495" s="3"/>
      <c r="M495" s="3"/>
      <c r="N495" s="6"/>
      <c r="O495" s="6"/>
      <c r="P495" s="6"/>
      <c r="Q495" s="6"/>
      <c r="R495" s="6"/>
      <c r="S495" s="6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18"/>
      <c r="J496" s="3"/>
      <c r="K496" s="3"/>
      <c r="L496" s="3"/>
      <c r="M496" s="3"/>
      <c r="N496" s="6"/>
      <c r="O496" s="6"/>
      <c r="P496" s="6"/>
      <c r="Q496" s="6"/>
      <c r="R496" s="6"/>
      <c r="S496" s="6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18"/>
      <c r="J497" s="3"/>
      <c r="K497" s="3"/>
      <c r="L497" s="3"/>
      <c r="M497" s="3"/>
      <c r="N497" s="6"/>
      <c r="O497" s="6"/>
      <c r="P497" s="6"/>
      <c r="Q497" s="6"/>
      <c r="R497" s="6"/>
      <c r="S497" s="6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18"/>
      <c r="J498" s="3"/>
      <c r="K498" s="3"/>
      <c r="L498" s="3"/>
      <c r="M498" s="3"/>
      <c r="N498" s="6"/>
      <c r="O498" s="6"/>
      <c r="P498" s="6"/>
      <c r="Q498" s="6"/>
      <c r="R498" s="6"/>
      <c r="S498" s="6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18"/>
      <c r="J499" s="3"/>
      <c r="K499" s="3"/>
      <c r="L499" s="3"/>
      <c r="M499" s="3"/>
      <c r="N499" s="6"/>
      <c r="O499" s="6"/>
      <c r="P499" s="6"/>
      <c r="Q499" s="6"/>
      <c r="R499" s="6"/>
      <c r="S499" s="6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18"/>
      <c r="J500" s="3"/>
      <c r="K500" s="3"/>
      <c r="L500" s="3"/>
      <c r="M500" s="3"/>
      <c r="N500" s="6"/>
      <c r="O500" s="6"/>
      <c r="P500" s="6"/>
      <c r="Q500" s="6"/>
      <c r="R500" s="6"/>
      <c r="S500" s="6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18"/>
      <c r="J501" s="3"/>
      <c r="K501" s="3"/>
      <c r="L501" s="3"/>
      <c r="M501" s="3"/>
      <c r="N501" s="6"/>
      <c r="O501" s="6"/>
      <c r="P501" s="6"/>
      <c r="Q501" s="6"/>
      <c r="R501" s="6"/>
      <c r="S501" s="6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18"/>
      <c r="J502" s="3"/>
      <c r="K502" s="3"/>
      <c r="L502" s="3"/>
      <c r="M502" s="3"/>
      <c r="N502" s="6"/>
      <c r="O502" s="6"/>
      <c r="P502" s="6"/>
      <c r="Q502" s="6"/>
      <c r="R502" s="6"/>
      <c r="S502" s="6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18"/>
      <c r="J503" s="3"/>
      <c r="K503" s="3"/>
      <c r="L503" s="3"/>
      <c r="M503" s="3"/>
      <c r="N503" s="6"/>
      <c r="O503" s="6"/>
      <c r="P503" s="6"/>
      <c r="Q503" s="6"/>
      <c r="R503" s="6"/>
      <c r="S503" s="6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18"/>
      <c r="J504" s="3"/>
      <c r="K504" s="3"/>
      <c r="L504" s="3"/>
      <c r="M504" s="3"/>
      <c r="N504" s="6"/>
      <c r="O504" s="6"/>
      <c r="P504" s="6"/>
      <c r="Q504" s="6"/>
      <c r="R504" s="6"/>
      <c r="S504" s="6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18"/>
      <c r="J505" s="3"/>
      <c r="K505" s="3"/>
      <c r="L505" s="3"/>
      <c r="M505" s="3"/>
      <c r="N505" s="6"/>
      <c r="O505" s="6"/>
      <c r="P505" s="6"/>
      <c r="Q505" s="6"/>
      <c r="R505" s="6"/>
      <c r="S505" s="6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18"/>
      <c r="J506" s="3"/>
      <c r="K506" s="3"/>
      <c r="L506" s="3"/>
      <c r="M506" s="3"/>
      <c r="N506" s="6"/>
      <c r="O506" s="6"/>
      <c r="P506" s="6"/>
      <c r="Q506" s="6"/>
      <c r="R506" s="6"/>
      <c r="S506" s="6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18"/>
      <c r="J507" s="3"/>
      <c r="K507" s="3"/>
      <c r="L507" s="3"/>
      <c r="M507" s="3"/>
      <c r="N507" s="6"/>
      <c r="O507" s="6"/>
      <c r="P507" s="6"/>
      <c r="Q507" s="6"/>
      <c r="R507" s="6"/>
      <c r="S507" s="6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18"/>
      <c r="J508" s="3"/>
      <c r="K508" s="3"/>
      <c r="L508" s="3"/>
      <c r="M508" s="3"/>
      <c r="N508" s="6"/>
      <c r="O508" s="6"/>
      <c r="P508" s="6"/>
      <c r="Q508" s="6"/>
      <c r="R508" s="6"/>
      <c r="S508" s="6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18"/>
      <c r="J509" s="3"/>
      <c r="K509" s="3"/>
      <c r="L509" s="3"/>
      <c r="M509" s="3"/>
      <c r="N509" s="6"/>
      <c r="O509" s="6"/>
      <c r="P509" s="6"/>
      <c r="Q509" s="6"/>
      <c r="R509" s="6"/>
      <c r="S509" s="6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18"/>
      <c r="J510" s="3"/>
      <c r="K510" s="3"/>
      <c r="L510" s="3"/>
      <c r="M510" s="3"/>
      <c r="N510" s="6"/>
      <c r="O510" s="6"/>
      <c r="P510" s="6"/>
      <c r="Q510" s="6"/>
      <c r="R510" s="6"/>
      <c r="S510" s="6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18"/>
      <c r="J511" s="3"/>
      <c r="K511" s="3"/>
      <c r="L511" s="3"/>
      <c r="M511" s="3"/>
      <c r="N511" s="6"/>
      <c r="O511" s="6"/>
      <c r="P511" s="6"/>
      <c r="Q511" s="6"/>
      <c r="R511" s="6"/>
      <c r="S511" s="6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18"/>
      <c r="J512" s="3"/>
      <c r="K512" s="3"/>
      <c r="L512" s="3"/>
      <c r="M512" s="3"/>
      <c r="N512" s="6"/>
      <c r="O512" s="6"/>
      <c r="P512" s="6"/>
      <c r="Q512" s="6"/>
      <c r="R512" s="6"/>
      <c r="S512" s="6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18"/>
      <c r="J513" s="3"/>
      <c r="K513" s="3"/>
      <c r="L513" s="3"/>
      <c r="M513" s="3"/>
      <c r="N513" s="6"/>
      <c r="O513" s="6"/>
      <c r="P513" s="6"/>
      <c r="Q513" s="6"/>
      <c r="R513" s="6"/>
      <c r="S513" s="6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18"/>
      <c r="J514" s="3"/>
      <c r="K514" s="3"/>
      <c r="L514" s="3"/>
      <c r="M514" s="3"/>
      <c r="N514" s="6"/>
      <c r="O514" s="6"/>
      <c r="P514" s="6"/>
      <c r="Q514" s="6"/>
      <c r="R514" s="6"/>
      <c r="S514" s="6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18"/>
      <c r="J515" s="3"/>
      <c r="K515" s="3"/>
      <c r="L515" s="3"/>
      <c r="M515" s="3"/>
      <c r="N515" s="6"/>
      <c r="O515" s="6"/>
      <c r="P515" s="6"/>
      <c r="Q515" s="6"/>
      <c r="R515" s="6"/>
      <c r="S515" s="6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18"/>
      <c r="J516" s="3"/>
      <c r="K516" s="3"/>
      <c r="L516" s="3"/>
      <c r="M516" s="3"/>
      <c r="N516" s="6"/>
      <c r="O516" s="6"/>
      <c r="P516" s="6"/>
      <c r="Q516" s="6"/>
      <c r="R516" s="6"/>
      <c r="S516" s="6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18"/>
      <c r="J517" s="3"/>
      <c r="K517" s="3"/>
      <c r="L517" s="3"/>
      <c r="M517" s="3"/>
      <c r="N517" s="6"/>
      <c r="O517" s="6"/>
      <c r="P517" s="6"/>
      <c r="Q517" s="6"/>
      <c r="R517" s="6"/>
      <c r="S517" s="6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18"/>
      <c r="J518" s="3"/>
      <c r="K518" s="3"/>
      <c r="L518" s="3"/>
      <c r="M518" s="3"/>
      <c r="N518" s="6"/>
      <c r="O518" s="6"/>
      <c r="P518" s="6"/>
      <c r="Q518" s="6"/>
      <c r="R518" s="6"/>
      <c r="S518" s="6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18"/>
      <c r="J519" s="3"/>
      <c r="K519" s="3"/>
      <c r="L519" s="3"/>
      <c r="M519" s="3"/>
      <c r="N519" s="6"/>
      <c r="O519" s="6"/>
      <c r="P519" s="6"/>
      <c r="Q519" s="6"/>
      <c r="R519" s="6"/>
      <c r="S519" s="6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18"/>
      <c r="J520" s="3"/>
      <c r="K520" s="3"/>
      <c r="L520" s="3"/>
      <c r="M520" s="3"/>
      <c r="N520" s="6"/>
      <c r="O520" s="6"/>
      <c r="P520" s="6"/>
      <c r="Q520" s="6"/>
      <c r="R520" s="6"/>
      <c r="S520" s="6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18"/>
      <c r="J521" s="3"/>
      <c r="K521" s="3"/>
      <c r="L521" s="3"/>
      <c r="M521" s="3"/>
      <c r="N521" s="6"/>
      <c r="O521" s="6"/>
      <c r="P521" s="6"/>
      <c r="Q521" s="6"/>
      <c r="R521" s="6"/>
      <c r="S521" s="6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18"/>
      <c r="J522" s="3"/>
      <c r="K522" s="3"/>
      <c r="L522" s="3"/>
      <c r="M522" s="3"/>
      <c r="N522" s="6"/>
      <c r="O522" s="6"/>
      <c r="P522" s="6"/>
      <c r="Q522" s="6"/>
      <c r="R522" s="6"/>
      <c r="S522" s="6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18"/>
      <c r="J523" s="3"/>
      <c r="K523" s="3"/>
      <c r="L523" s="3"/>
      <c r="M523" s="3"/>
      <c r="N523" s="6"/>
      <c r="O523" s="6"/>
      <c r="P523" s="6"/>
      <c r="Q523" s="6"/>
      <c r="R523" s="6"/>
      <c r="S523" s="6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18"/>
      <c r="J524" s="3"/>
      <c r="K524" s="3"/>
      <c r="L524" s="3"/>
      <c r="M524" s="3"/>
      <c r="N524" s="6"/>
      <c r="O524" s="6"/>
      <c r="P524" s="6"/>
      <c r="Q524" s="6"/>
      <c r="R524" s="6"/>
      <c r="S524" s="6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18"/>
      <c r="J525" s="3"/>
      <c r="K525" s="3"/>
      <c r="L525" s="3"/>
      <c r="M525" s="3"/>
      <c r="N525" s="6"/>
      <c r="O525" s="6"/>
      <c r="P525" s="6"/>
      <c r="Q525" s="6"/>
      <c r="R525" s="6"/>
      <c r="S525" s="6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18"/>
      <c r="J526" s="3"/>
      <c r="K526" s="3"/>
      <c r="L526" s="3"/>
      <c r="M526" s="3"/>
      <c r="N526" s="6"/>
      <c r="O526" s="6"/>
      <c r="P526" s="6"/>
      <c r="Q526" s="6"/>
      <c r="R526" s="6"/>
      <c r="S526" s="6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18"/>
      <c r="J527" s="3"/>
      <c r="K527" s="3"/>
      <c r="L527" s="3"/>
      <c r="M527" s="3"/>
      <c r="N527" s="6"/>
      <c r="O527" s="6"/>
      <c r="P527" s="6"/>
      <c r="Q527" s="6"/>
      <c r="R527" s="6"/>
      <c r="S527" s="6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18"/>
      <c r="J528" s="3"/>
      <c r="K528" s="3"/>
      <c r="L528" s="3"/>
      <c r="M528" s="3"/>
      <c r="N528" s="6"/>
      <c r="O528" s="6"/>
      <c r="P528" s="6"/>
      <c r="Q528" s="6"/>
      <c r="R528" s="6"/>
      <c r="S528" s="6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18"/>
      <c r="J529" s="3"/>
      <c r="K529" s="3"/>
      <c r="L529" s="3"/>
      <c r="M529" s="3"/>
      <c r="N529" s="6"/>
      <c r="O529" s="6"/>
      <c r="P529" s="6"/>
      <c r="Q529" s="6"/>
      <c r="R529" s="6"/>
      <c r="S529" s="6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18"/>
      <c r="J530" s="3"/>
      <c r="K530" s="3"/>
      <c r="L530" s="3"/>
      <c r="M530" s="3"/>
      <c r="N530" s="6"/>
      <c r="O530" s="6"/>
      <c r="P530" s="6"/>
      <c r="Q530" s="6"/>
      <c r="R530" s="6"/>
      <c r="S530" s="6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18"/>
      <c r="J531" s="3"/>
      <c r="K531" s="3"/>
      <c r="L531" s="3"/>
      <c r="M531" s="3"/>
      <c r="N531" s="6"/>
      <c r="O531" s="6"/>
      <c r="P531" s="6"/>
      <c r="Q531" s="6"/>
      <c r="R531" s="6"/>
      <c r="S531" s="6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18"/>
      <c r="J532" s="3"/>
      <c r="K532" s="3"/>
      <c r="L532" s="3"/>
      <c r="M532" s="3"/>
      <c r="N532" s="6"/>
      <c r="O532" s="6"/>
      <c r="P532" s="6"/>
      <c r="Q532" s="6"/>
      <c r="R532" s="6"/>
      <c r="S532" s="6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18"/>
      <c r="J533" s="3"/>
      <c r="K533" s="3"/>
      <c r="L533" s="3"/>
      <c r="M533" s="3"/>
      <c r="N533" s="6"/>
      <c r="O533" s="6"/>
      <c r="P533" s="6"/>
      <c r="Q533" s="6"/>
      <c r="R533" s="6"/>
      <c r="S533" s="6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18"/>
      <c r="J534" s="3"/>
      <c r="K534" s="3"/>
      <c r="L534" s="3"/>
      <c r="M534" s="3"/>
      <c r="N534" s="6"/>
      <c r="O534" s="6"/>
      <c r="P534" s="6"/>
      <c r="Q534" s="6"/>
      <c r="R534" s="6"/>
      <c r="S534" s="6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18"/>
      <c r="J535" s="3"/>
      <c r="K535" s="3"/>
      <c r="L535" s="3"/>
      <c r="M535" s="3"/>
      <c r="N535" s="6"/>
      <c r="O535" s="6"/>
      <c r="P535" s="6"/>
      <c r="Q535" s="6"/>
      <c r="R535" s="6"/>
      <c r="S535" s="6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18"/>
      <c r="J536" s="3"/>
      <c r="K536" s="3"/>
      <c r="L536" s="3"/>
      <c r="M536" s="3"/>
      <c r="N536" s="6"/>
      <c r="O536" s="6"/>
      <c r="P536" s="6"/>
      <c r="Q536" s="6"/>
      <c r="R536" s="6"/>
      <c r="S536" s="6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18"/>
      <c r="J537" s="3"/>
      <c r="K537" s="3"/>
      <c r="L537" s="3"/>
      <c r="M537" s="3"/>
      <c r="N537" s="6"/>
      <c r="O537" s="6"/>
      <c r="P537" s="6"/>
      <c r="Q537" s="6"/>
      <c r="R537" s="6"/>
      <c r="S537" s="6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18"/>
      <c r="J538" s="3"/>
      <c r="K538" s="3"/>
      <c r="L538" s="3"/>
      <c r="M538" s="3"/>
      <c r="N538" s="6"/>
      <c r="O538" s="6"/>
      <c r="P538" s="6"/>
      <c r="Q538" s="6"/>
      <c r="R538" s="6"/>
      <c r="S538" s="6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18"/>
      <c r="J539" s="3"/>
      <c r="K539" s="3"/>
      <c r="L539" s="3"/>
      <c r="M539" s="3"/>
      <c r="N539" s="6"/>
      <c r="O539" s="6"/>
      <c r="P539" s="6"/>
      <c r="Q539" s="6"/>
      <c r="R539" s="6"/>
      <c r="S539" s="6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18"/>
      <c r="J540" s="3"/>
      <c r="K540" s="3"/>
      <c r="L540" s="3"/>
      <c r="M540" s="3"/>
      <c r="N540" s="6"/>
      <c r="O540" s="6"/>
      <c r="P540" s="6"/>
      <c r="Q540" s="6"/>
      <c r="R540" s="6"/>
      <c r="S540" s="6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18"/>
      <c r="J541" s="3"/>
      <c r="K541" s="3"/>
      <c r="L541" s="3"/>
      <c r="M541" s="3"/>
      <c r="N541" s="6"/>
      <c r="O541" s="6"/>
      <c r="P541" s="6"/>
      <c r="Q541" s="6"/>
      <c r="R541" s="6"/>
      <c r="S541" s="6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18"/>
      <c r="J542" s="3"/>
      <c r="K542" s="3"/>
      <c r="L542" s="3"/>
      <c r="M542" s="3"/>
      <c r="N542" s="6"/>
      <c r="O542" s="6"/>
      <c r="P542" s="6"/>
      <c r="Q542" s="6"/>
      <c r="R542" s="6"/>
      <c r="S542" s="6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18"/>
      <c r="J543" s="3"/>
      <c r="K543" s="3"/>
      <c r="L543" s="3"/>
      <c r="M543" s="3"/>
      <c r="N543" s="6"/>
      <c r="O543" s="6"/>
      <c r="P543" s="6"/>
      <c r="Q543" s="6"/>
      <c r="R543" s="6"/>
      <c r="S543" s="6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18"/>
      <c r="J544" s="3"/>
      <c r="K544" s="3"/>
      <c r="L544" s="3"/>
      <c r="M544" s="3"/>
      <c r="N544" s="6"/>
      <c r="O544" s="6"/>
      <c r="P544" s="6"/>
      <c r="Q544" s="6"/>
      <c r="R544" s="6"/>
      <c r="S544" s="6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18"/>
      <c r="J545" s="3"/>
      <c r="K545" s="3"/>
      <c r="L545" s="3"/>
      <c r="M545" s="3"/>
      <c r="N545" s="6"/>
      <c r="O545" s="6"/>
      <c r="P545" s="6"/>
      <c r="Q545" s="6"/>
      <c r="R545" s="6"/>
      <c r="S545" s="6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18"/>
      <c r="J546" s="3"/>
      <c r="K546" s="3"/>
      <c r="L546" s="3"/>
      <c r="M546" s="3"/>
      <c r="N546" s="6"/>
      <c r="O546" s="6"/>
      <c r="P546" s="6"/>
      <c r="Q546" s="6"/>
      <c r="R546" s="6"/>
      <c r="S546" s="6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18"/>
      <c r="J547" s="3"/>
      <c r="K547" s="3"/>
      <c r="L547" s="3"/>
      <c r="M547" s="3"/>
      <c r="N547" s="6"/>
      <c r="O547" s="6"/>
      <c r="P547" s="6"/>
      <c r="Q547" s="6"/>
      <c r="R547" s="6"/>
      <c r="S547" s="6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18"/>
      <c r="J548" s="3"/>
      <c r="K548" s="3"/>
      <c r="L548" s="3"/>
      <c r="M548" s="3"/>
      <c r="N548" s="6"/>
      <c r="O548" s="6"/>
      <c r="P548" s="6"/>
      <c r="Q548" s="6"/>
      <c r="R548" s="6"/>
      <c r="S548" s="6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18"/>
      <c r="J549" s="3"/>
      <c r="K549" s="3"/>
      <c r="L549" s="3"/>
      <c r="M549" s="3"/>
      <c r="N549" s="6"/>
      <c r="O549" s="6"/>
      <c r="P549" s="6"/>
      <c r="Q549" s="6"/>
      <c r="R549" s="6"/>
      <c r="S549" s="6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18"/>
      <c r="J550" s="3"/>
      <c r="K550" s="3"/>
      <c r="L550" s="3"/>
      <c r="M550" s="3"/>
      <c r="N550" s="6"/>
      <c r="O550" s="6"/>
      <c r="P550" s="6"/>
      <c r="Q550" s="6"/>
      <c r="R550" s="6"/>
      <c r="S550" s="6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18"/>
      <c r="J551" s="3"/>
      <c r="K551" s="3"/>
      <c r="L551" s="3"/>
      <c r="M551" s="3"/>
      <c r="N551" s="6"/>
      <c r="O551" s="6"/>
      <c r="P551" s="6"/>
      <c r="Q551" s="6"/>
      <c r="R551" s="6"/>
      <c r="S551" s="6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18"/>
      <c r="J552" s="3"/>
      <c r="K552" s="3"/>
      <c r="L552" s="3"/>
      <c r="M552" s="3"/>
      <c r="N552" s="6"/>
      <c r="O552" s="6"/>
      <c r="P552" s="6"/>
      <c r="Q552" s="6"/>
      <c r="R552" s="6"/>
      <c r="S552" s="6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18"/>
      <c r="J553" s="3"/>
      <c r="K553" s="3"/>
      <c r="L553" s="3"/>
      <c r="M553" s="3"/>
      <c r="N553" s="6"/>
      <c r="O553" s="6"/>
      <c r="P553" s="6"/>
      <c r="Q553" s="6"/>
      <c r="R553" s="6"/>
      <c r="S553" s="6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18"/>
      <c r="J554" s="3"/>
      <c r="K554" s="3"/>
      <c r="L554" s="3"/>
      <c r="M554" s="3"/>
      <c r="N554" s="6"/>
      <c r="O554" s="6"/>
      <c r="P554" s="6"/>
      <c r="Q554" s="6"/>
      <c r="R554" s="6"/>
      <c r="S554" s="6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18"/>
      <c r="J555" s="3"/>
      <c r="K555" s="3"/>
      <c r="L555" s="3"/>
      <c r="M555" s="3"/>
      <c r="N555" s="6"/>
      <c r="O555" s="6"/>
      <c r="P555" s="6"/>
      <c r="Q555" s="6"/>
      <c r="R555" s="6"/>
      <c r="S555" s="6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18"/>
      <c r="J556" s="3"/>
      <c r="K556" s="3"/>
      <c r="L556" s="3"/>
      <c r="M556" s="3"/>
      <c r="N556" s="6"/>
      <c r="O556" s="6"/>
      <c r="P556" s="6"/>
      <c r="Q556" s="6"/>
      <c r="R556" s="6"/>
      <c r="S556" s="6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18"/>
      <c r="J557" s="3"/>
      <c r="K557" s="3"/>
      <c r="L557" s="3"/>
      <c r="M557" s="3"/>
      <c r="N557" s="6"/>
      <c r="O557" s="6"/>
      <c r="P557" s="6"/>
      <c r="Q557" s="6"/>
      <c r="R557" s="6"/>
      <c r="S557" s="6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18"/>
      <c r="J558" s="3"/>
      <c r="K558" s="3"/>
      <c r="L558" s="3"/>
      <c r="M558" s="3"/>
      <c r="N558" s="6"/>
      <c r="O558" s="6"/>
      <c r="P558" s="6"/>
      <c r="Q558" s="6"/>
      <c r="R558" s="6"/>
      <c r="S558" s="6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18"/>
      <c r="J559" s="3"/>
      <c r="K559" s="3"/>
      <c r="L559" s="3"/>
      <c r="M559" s="3"/>
      <c r="N559" s="6"/>
      <c r="O559" s="6"/>
      <c r="P559" s="6"/>
      <c r="Q559" s="6"/>
      <c r="R559" s="6"/>
      <c r="S559" s="6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18"/>
      <c r="J560" s="3"/>
      <c r="K560" s="3"/>
      <c r="L560" s="3"/>
      <c r="M560" s="3"/>
      <c r="N560" s="6"/>
      <c r="O560" s="6"/>
      <c r="P560" s="6"/>
      <c r="Q560" s="6"/>
      <c r="R560" s="6"/>
      <c r="S560" s="6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18"/>
      <c r="J561" s="3"/>
      <c r="K561" s="3"/>
      <c r="L561" s="3"/>
      <c r="M561" s="3"/>
      <c r="N561" s="6"/>
      <c r="O561" s="6"/>
      <c r="P561" s="6"/>
      <c r="Q561" s="6"/>
      <c r="R561" s="6"/>
      <c r="S561" s="6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18"/>
      <c r="J562" s="3"/>
      <c r="K562" s="3"/>
      <c r="L562" s="3"/>
      <c r="M562" s="3"/>
      <c r="N562" s="6"/>
      <c r="O562" s="6"/>
      <c r="P562" s="6"/>
      <c r="Q562" s="6"/>
      <c r="R562" s="6"/>
      <c r="S562" s="6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18"/>
      <c r="J563" s="3"/>
      <c r="K563" s="3"/>
      <c r="L563" s="3"/>
      <c r="M563" s="3"/>
      <c r="N563" s="6"/>
      <c r="O563" s="6"/>
      <c r="P563" s="6"/>
      <c r="Q563" s="6"/>
      <c r="R563" s="6"/>
      <c r="S563" s="6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18"/>
      <c r="J564" s="3"/>
      <c r="K564" s="3"/>
      <c r="L564" s="3"/>
      <c r="M564" s="3"/>
      <c r="N564" s="6"/>
      <c r="O564" s="6"/>
      <c r="P564" s="6"/>
      <c r="Q564" s="6"/>
      <c r="R564" s="6"/>
      <c r="S564" s="6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18"/>
      <c r="J565" s="3"/>
      <c r="K565" s="3"/>
      <c r="L565" s="3"/>
      <c r="M565" s="3"/>
      <c r="N565" s="6"/>
      <c r="O565" s="6"/>
      <c r="P565" s="6"/>
      <c r="Q565" s="6"/>
      <c r="R565" s="6"/>
      <c r="S565" s="6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18"/>
      <c r="J566" s="3"/>
      <c r="K566" s="3"/>
      <c r="L566" s="3"/>
      <c r="M566" s="3"/>
      <c r="N566" s="6"/>
      <c r="O566" s="6"/>
      <c r="P566" s="6"/>
      <c r="Q566" s="6"/>
      <c r="R566" s="6"/>
      <c r="S566" s="6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18"/>
      <c r="J567" s="3"/>
      <c r="K567" s="3"/>
      <c r="L567" s="3"/>
      <c r="M567" s="3"/>
      <c r="N567" s="6"/>
      <c r="O567" s="6"/>
      <c r="P567" s="6"/>
      <c r="Q567" s="6"/>
      <c r="R567" s="6"/>
      <c r="S567" s="6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18"/>
      <c r="J568" s="3"/>
      <c r="K568" s="3"/>
      <c r="L568" s="3"/>
      <c r="M568" s="3"/>
      <c r="N568" s="6"/>
      <c r="O568" s="6"/>
      <c r="P568" s="6"/>
      <c r="Q568" s="6"/>
      <c r="R568" s="6"/>
      <c r="S568" s="6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18"/>
      <c r="J569" s="3"/>
      <c r="K569" s="3"/>
      <c r="L569" s="3"/>
      <c r="M569" s="3"/>
      <c r="N569" s="6"/>
      <c r="O569" s="6"/>
      <c r="P569" s="6"/>
      <c r="Q569" s="6"/>
      <c r="R569" s="6"/>
      <c r="S569" s="6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18"/>
      <c r="J570" s="3"/>
      <c r="K570" s="3"/>
      <c r="L570" s="3"/>
      <c r="M570" s="3"/>
      <c r="N570" s="6"/>
      <c r="O570" s="6"/>
      <c r="P570" s="6"/>
      <c r="Q570" s="6"/>
      <c r="R570" s="6"/>
      <c r="S570" s="6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18"/>
      <c r="J571" s="3"/>
      <c r="K571" s="3"/>
      <c r="L571" s="3"/>
      <c r="M571" s="3"/>
      <c r="N571" s="6"/>
      <c r="O571" s="6"/>
      <c r="P571" s="6"/>
      <c r="Q571" s="6"/>
      <c r="R571" s="6"/>
      <c r="S571" s="6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18"/>
      <c r="J572" s="3"/>
      <c r="K572" s="3"/>
      <c r="L572" s="3"/>
      <c r="M572" s="3"/>
      <c r="N572" s="6"/>
      <c r="O572" s="6"/>
      <c r="P572" s="6"/>
      <c r="Q572" s="6"/>
      <c r="R572" s="6"/>
      <c r="S572" s="6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18"/>
      <c r="J573" s="3"/>
      <c r="K573" s="3"/>
      <c r="L573" s="3"/>
      <c r="M573" s="3"/>
      <c r="N573" s="6"/>
      <c r="O573" s="6"/>
      <c r="P573" s="6"/>
      <c r="Q573" s="6"/>
      <c r="R573" s="6"/>
      <c r="S573" s="6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18"/>
      <c r="J574" s="3"/>
      <c r="K574" s="3"/>
      <c r="L574" s="3"/>
      <c r="M574" s="3"/>
      <c r="N574" s="6"/>
      <c r="O574" s="6"/>
      <c r="P574" s="6"/>
      <c r="Q574" s="6"/>
      <c r="R574" s="6"/>
      <c r="S574" s="6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18"/>
      <c r="J575" s="3"/>
      <c r="K575" s="3"/>
      <c r="L575" s="3"/>
      <c r="M575" s="3"/>
      <c r="N575" s="6"/>
      <c r="O575" s="6"/>
      <c r="P575" s="6"/>
      <c r="Q575" s="6"/>
      <c r="R575" s="6"/>
      <c r="S575" s="6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18"/>
      <c r="J576" s="3"/>
      <c r="K576" s="3"/>
      <c r="L576" s="3"/>
      <c r="M576" s="3"/>
      <c r="N576" s="6"/>
      <c r="O576" s="6"/>
      <c r="P576" s="6"/>
      <c r="Q576" s="6"/>
      <c r="R576" s="6"/>
      <c r="S576" s="6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18"/>
      <c r="J577" s="3"/>
      <c r="K577" s="3"/>
      <c r="L577" s="3"/>
      <c r="M577" s="3"/>
      <c r="N577" s="6"/>
      <c r="O577" s="6"/>
      <c r="P577" s="6"/>
      <c r="Q577" s="6"/>
      <c r="R577" s="6"/>
      <c r="S577" s="6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18"/>
      <c r="J578" s="3"/>
      <c r="K578" s="3"/>
      <c r="L578" s="3"/>
      <c r="M578" s="3"/>
      <c r="N578" s="6"/>
      <c r="O578" s="6"/>
      <c r="P578" s="6"/>
      <c r="Q578" s="6"/>
      <c r="R578" s="6"/>
      <c r="S578" s="6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18"/>
      <c r="J579" s="3"/>
      <c r="K579" s="3"/>
      <c r="L579" s="3"/>
      <c r="M579" s="3"/>
      <c r="N579" s="6"/>
      <c r="O579" s="6"/>
      <c r="P579" s="6"/>
      <c r="Q579" s="6"/>
      <c r="R579" s="6"/>
      <c r="S579" s="6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18"/>
      <c r="J580" s="3"/>
      <c r="K580" s="3"/>
      <c r="L580" s="3"/>
      <c r="M580" s="3"/>
      <c r="N580" s="6"/>
      <c r="O580" s="6"/>
      <c r="P580" s="6"/>
      <c r="Q580" s="6"/>
      <c r="R580" s="6"/>
      <c r="S580" s="6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18"/>
      <c r="J581" s="3"/>
      <c r="K581" s="3"/>
      <c r="L581" s="3"/>
      <c r="M581" s="3"/>
      <c r="N581" s="6"/>
      <c r="O581" s="6"/>
      <c r="P581" s="6"/>
      <c r="Q581" s="6"/>
      <c r="R581" s="6"/>
      <c r="S581" s="6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18"/>
      <c r="J582" s="3"/>
      <c r="K582" s="3"/>
      <c r="L582" s="3"/>
      <c r="M582" s="3"/>
      <c r="N582" s="6"/>
      <c r="O582" s="6"/>
      <c r="P582" s="6"/>
      <c r="Q582" s="6"/>
      <c r="R582" s="6"/>
      <c r="S582" s="6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18"/>
      <c r="J583" s="3"/>
      <c r="K583" s="3"/>
      <c r="L583" s="3"/>
      <c r="M583" s="3"/>
      <c r="N583" s="6"/>
      <c r="O583" s="6"/>
      <c r="P583" s="6"/>
      <c r="Q583" s="6"/>
      <c r="R583" s="6"/>
      <c r="S583" s="6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18"/>
      <c r="J584" s="3"/>
      <c r="K584" s="3"/>
      <c r="L584" s="3"/>
      <c r="M584" s="3"/>
      <c r="N584" s="6"/>
      <c r="O584" s="6"/>
      <c r="P584" s="6"/>
      <c r="Q584" s="6"/>
      <c r="R584" s="6"/>
      <c r="S584" s="6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18"/>
      <c r="J585" s="3"/>
      <c r="K585" s="3"/>
      <c r="L585" s="3"/>
      <c r="M585" s="3"/>
      <c r="N585" s="6"/>
      <c r="O585" s="6"/>
      <c r="P585" s="6"/>
      <c r="Q585" s="6"/>
      <c r="R585" s="6"/>
      <c r="S585" s="6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18"/>
      <c r="J586" s="3"/>
      <c r="K586" s="3"/>
      <c r="L586" s="3"/>
      <c r="M586" s="3"/>
      <c r="N586" s="6"/>
      <c r="O586" s="6"/>
      <c r="P586" s="6"/>
      <c r="Q586" s="6"/>
      <c r="R586" s="6"/>
      <c r="S586" s="6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18"/>
      <c r="J587" s="3"/>
      <c r="K587" s="3"/>
      <c r="L587" s="3"/>
      <c r="M587" s="3"/>
      <c r="N587" s="6"/>
      <c r="O587" s="6"/>
      <c r="P587" s="6"/>
      <c r="Q587" s="6"/>
      <c r="R587" s="6"/>
      <c r="S587" s="6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18"/>
      <c r="J588" s="3"/>
      <c r="K588" s="3"/>
      <c r="L588" s="3"/>
      <c r="M588" s="3"/>
      <c r="N588" s="6"/>
      <c r="O588" s="6"/>
      <c r="P588" s="6"/>
      <c r="Q588" s="6"/>
      <c r="R588" s="6"/>
      <c r="S588" s="6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18"/>
      <c r="J589" s="3"/>
      <c r="K589" s="3"/>
      <c r="L589" s="3"/>
      <c r="M589" s="3"/>
      <c r="N589" s="6"/>
      <c r="O589" s="6"/>
      <c r="P589" s="6"/>
      <c r="Q589" s="6"/>
      <c r="R589" s="6"/>
      <c r="S589" s="6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18"/>
      <c r="J590" s="3"/>
      <c r="K590" s="3"/>
      <c r="L590" s="3"/>
      <c r="M590" s="3"/>
      <c r="N590" s="6"/>
      <c r="O590" s="6"/>
      <c r="P590" s="6"/>
      <c r="Q590" s="6"/>
      <c r="R590" s="6"/>
      <c r="S590" s="6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18"/>
      <c r="J591" s="3"/>
      <c r="K591" s="3"/>
      <c r="L591" s="3"/>
      <c r="M591" s="3"/>
      <c r="N591" s="6"/>
      <c r="O591" s="6"/>
      <c r="P591" s="6"/>
      <c r="Q591" s="6"/>
      <c r="R591" s="6"/>
      <c r="S591" s="6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18"/>
      <c r="J592" s="3"/>
      <c r="K592" s="3"/>
      <c r="L592" s="3"/>
      <c r="M592" s="3"/>
      <c r="N592" s="6"/>
      <c r="O592" s="6"/>
      <c r="P592" s="6"/>
      <c r="Q592" s="6"/>
      <c r="R592" s="6"/>
      <c r="S592" s="6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18"/>
      <c r="J593" s="3"/>
      <c r="K593" s="3"/>
      <c r="L593" s="3"/>
      <c r="M593" s="3"/>
      <c r="N593" s="6"/>
      <c r="O593" s="6"/>
      <c r="P593" s="6"/>
      <c r="Q593" s="6"/>
      <c r="R593" s="6"/>
      <c r="S593" s="6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18"/>
      <c r="J594" s="3"/>
      <c r="K594" s="3"/>
      <c r="L594" s="3"/>
      <c r="M594" s="3"/>
      <c r="N594" s="6"/>
      <c r="O594" s="6"/>
      <c r="P594" s="6"/>
      <c r="Q594" s="6"/>
      <c r="R594" s="6"/>
      <c r="S594" s="6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18"/>
      <c r="J595" s="3"/>
      <c r="K595" s="3"/>
      <c r="L595" s="3"/>
      <c r="M595" s="3"/>
      <c r="N595" s="6"/>
      <c r="O595" s="6"/>
      <c r="P595" s="6"/>
      <c r="Q595" s="6"/>
      <c r="R595" s="6"/>
      <c r="S595" s="6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18"/>
      <c r="J596" s="3"/>
      <c r="K596" s="3"/>
      <c r="L596" s="3"/>
      <c r="M596" s="3"/>
      <c r="N596" s="6"/>
      <c r="O596" s="6"/>
      <c r="P596" s="6"/>
      <c r="Q596" s="6"/>
      <c r="R596" s="6"/>
      <c r="S596" s="6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18"/>
      <c r="J597" s="3"/>
      <c r="K597" s="3"/>
      <c r="L597" s="3"/>
      <c r="M597" s="3"/>
      <c r="N597" s="6"/>
      <c r="O597" s="6"/>
      <c r="P597" s="6"/>
      <c r="Q597" s="6"/>
      <c r="R597" s="6"/>
      <c r="S597" s="6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18"/>
      <c r="J598" s="3"/>
      <c r="K598" s="3"/>
      <c r="L598" s="3"/>
      <c r="M598" s="3"/>
      <c r="N598" s="6"/>
      <c r="O598" s="6"/>
      <c r="P598" s="6"/>
      <c r="Q598" s="6"/>
      <c r="R598" s="6"/>
      <c r="S598" s="6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18"/>
      <c r="J599" s="3"/>
      <c r="K599" s="3"/>
      <c r="L599" s="3"/>
      <c r="M599" s="3"/>
      <c r="N599" s="6"/>
      <c r="O599" s="6"/>
      <c r="P599" s="6"/>
      <c r="Q599" s="6"/>
      <c r="R599" s="6"/>
      <c r="S599" s="6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18"/>
      <c r="J600" s="3"/>
      <c r="K600" s="3"/>
      <c r="L600" s="3"/>
      <c r="M600" s="3"/>
      <c r="N600" s="6"/>
      <c r="O600" s="6"/>
      <c r="P600" s="6"/>
      <c r="Q600" s="6"/>
      <c r="R600" s="6"/>
      <c r="S600" s="6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18"/>
      <c r="J601" s="3"/>
      <c r="K601" s="3"/>
      <c r="L601" s="3"/>
      <c r="M601" s="3"/>
      <c r="N601" s="6"/>
      <c r="O601" s="6"/>
      <c r="P601" s="6"/>
      <c r="Q601" s="6"/>
      <c r="R601" s="6"/>
      <c r="S601" s="6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18"/>
      <c r="J602" s="3"/>
      <c r="K602" s="3"/>
      <c r="L602" s="3"/>
      <c r="M602" s="3"/>
      <c r="N602" s="6"/>
      <c r="O602" s="6"/>
      <c r="P602" s="6"/>
      <c r="Q602" s="6"/>
      <c r="R602" s="6"/>
      <c r="S602" s="6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18"/>
      <c r="J603" s="3"/>
      <c r="K603" s="3"/>
      <c r="L603" s="3"/>
      <c r="M603" s="3"/>
      <c r="N603" s="6"/>
      <c r="O603" s="6"/>
      <c r="P603" s="6"/>
      <c r="Q603" s="6"/>
      <c r="R603" s="6"/>
      <c r="S603" s="6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18"/>
      <c r="J604" s="3"/>
      <c r="K604" s="3"/>
      <c r="L604" s="3"/>
      <c r="M604" s="3"/>
      <c r="N604" s="6"/>
      <c r="O604" s="6"/>
      <c r="P604" s="6"/>
      <c r="Q604" s="6"/>
      <c r="R604" s="6"/>
      <c r="S604" s="6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18"/>
      <c r="J605" s="3"/>
      <c r="K605" s="3"/>
      <c r="L605" s="3"/>
      <c r="M605" s="3"/>
      <c r="N605" s="6"/>
      <c r="O605" s="6"/>
      <c r="P605" s="6"/>
      <c r="Q605" s="6"/>
      <c r="R605" s="6"/>
      <c r="S605" s="6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18"/>
      <c r="J606" s="3"/>
      <c r="K606" s="3"/>
      <c r="L606" s="3"/>
      <c r="M606" s="3"/>
      <c r="N606" s="6"/>
      <c r="O606" s="6"/>
      <c r="P606" s="6"/>
      <c r="Q606" s="6"/>
      <c r="R606" s="6"/>
      <c r="S606" s="6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18"/>
      <c r="J607" s="3"/>
      <c r="K607" s="3"/>
      <c r="L607" s="3"/>
      <c r="M607" s="3"/>
      <c r="N607" s="6"/>
      <c r="O607" s="6"/>
      <c r="P607" s="6"/>
      <c r="Q607" s="6"/>
      <c r="R607" s="6"/>
      <c r="S607" s="6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18"/>
      <c r="J608" s="3"/>
      <c r="K608" s="3"/>
      <c r="L608" s="3"/>
      <c r="M608" s="3"/>
      <c r="N608" s="6"/>
      <c r="O608" s="6"/>
      <c r="P608" s="6"/>
      <c r="Q608" s="6"/>
      <c r="R608" s="6"/>
      <c r="S608" s="6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18"/>
      <c r="J609" s="3"/>
      <c r="K609" s="3"/>
      <c r="L609" s="3"/>
      <c r="M609" s="3"/>
      <c r="N609" s="6"/>
      <c r="O609" s="6"/>
      <c r="P609" s="6"/>
      <c r="Q609" s="6"/>
      <c r="R609" s="6"/>
      <c r="S609" s="6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18"/>
      <c r="J610" s="3"/>
      <c r="K610" s="3"/>
      <c r="L610" s="3"/>
      <c r="M610" s="3"/>
      <c r="N610" s="6"/>
      <c r="O610" s="6"/>
      <c r="P610" s="6"/>
      <c r="Q610" s="6"/>
      <c r="R610" s="6"/>
      <c r="S610" s="6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18"/>
      <c r="J611" s="3"/>
      <c r="K611" s="3"/>
      <c r="L611" s="3"/>
      <c r="M611" s="3"/>
      <c r="N611" s="6"/>
      <c r="O611" s="6"/>
      <c r="P611" s="6"/>
      <c r="Q611" s="6"/>
      <c r="R611" s="6"/>
      <c r="S611" s="6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18"/>
      <c r="J612" s="3"/>
      <c r="K612" s="3"/>
      <c r="L612" s="3"/>
      <c r="M612" s="3"/>
      <c r="N612" s="6"/>
      <c r="O612" s="6"/>
      <c r="P612" s="6"/>
      <c r="Q612" s="6"/>
      <c r="R612" s="6"/>
      <c r="S612" s="6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18"/>
      <c r="J613" s="3"/>
      <c r="K613" s="3"/>
      <c r="L613" s="3"/>
      <c r="M613" s="3"/>
      <c r="N613" s="6"/>
      <c r="O613" s="6"/>
      <c r="P613" s="6"/>
      <c r="Q613" s="6"/>
      <c r="R613" s="6"/>
      <c r="S613" s="6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18"/>
      <c r="J614" s="3"/>
      <c r="K614" s="3"/>
      <c r="L614" s="3"/>
      <c r="M614" s="3"/>
      <c r="N614" s="6"/>
      <c r="O614" s="6"/>
      <c r="P614" s="6"/>
      <c r="Q614" s="6"/>
      <c r="R614" s="6"/>
      <c r="S614" s="6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18"/>
      <c r="J615" s="3"/>
      <c r="K615" s="3"/>
      <c r="L615" s="3"/>
      <c r="M615" s="3"/>
      <c r="N615" s="6"/>
      <c r="O615" s="6"/>
      <c r="P615" s="6"/>
      <c r="Q615" s="6"/>
      <c r="R615" s="6"/>
      <c r="S615" s="6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18"/>
      <c r="J616" s="3"/>
      <c r="K616" s="3"/>
      <c r="L616" s="3"/>
      <c r="M616" s="3"/>
      <c r="N616" s="6"/>
      <c r="O616" s="6"/>
      <c r="P616" s="6"/>
      <c r="Q616" s="6"/>
      <c r="R616" s="6"/>
      <c r="S616" s="6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18"/>
      <c r="J617" s="3"/>
      <c r="K617" s="3"/>
      <c r="L617" s="3"/>
      <c r="M617" s="3"/>
      <c r="N617" s="6"/>
      <c r="O617" s="6"/>
      <c r="P617" s="6"/>
      <c r="Q617" s="6"/>
      <c r="R617" s="6"/>
      <c r="S617" s="6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18"/>
      <c r="J618" s="3"/>
      <c r="K618" s="3"/>
      <c r="L618" s="3"/>
      <c r="M618" s="3"/>
      <c r="N618" s="6"/>
      <c r="O618" s="6"/>
      <c r="P618" s="6"/>
      <c r="Q618" s="6"/>
      <c r="R618" s="6"/>
      <c r="S618" s="6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18"/>
      <c r="J619" s="3"/>
      <c r="K619" s="3"/>
      <c r="L619" s="3"/>
      <c r="M619" s="3"/>
      <c r="N619" s="6"/>
      <c r="O619" s="6"/>
      <c r="P619" s="6"/>
      <c r="Q619" s="6"/>
      <c r="R619" s="6"/>
      <c r="S619" s="6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18"/>
      <c r="J620" s="3"/>
      <c r="K620" s="3"/>
      <c r="L620" s="3"/>
      <c r="M620" s="3"/>
      <c r="N620" s="6"/>
      <c r="O620" s="6"/>
      <c r="P620" s="6"/>
      <c r="Q620" s="6"/>
      <c r="R620" s="6"/>
      <c r="S620" s="6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18"/>
      <c r="J621" s="3"/>
      <c r="K621" s="3"/>
      <c r="L621" s="3"/>
      <c r="M621" s="3"/>
      <c r="N621" s="6"/>
      <c r="O621" s="6"/>
      <c r="P621" s="6"/>
      <c r="Q621" s="6"/>
      <c r="R621" s="6"/>
      <c r="S621" s="6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18"/>
      <c r="J622" s="3"/>
      <c r="K622" s="3"/>
      <c r="L622" s="3"/>
      <c r="M622" s="3"/>
      <c r="N622" s="6"/>
      <c r="O622" s="6"/>
      <c r="P622" s="6"/>
      <c r="Q622" s="6"/>
      <c r="R622" s="6"/>
      <c r="S622" s="6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18"/>
      <c r="J623" s="3"/>
      <c r="K623" s="3"/>
      <c r="L623" s="3"/>
      <c r="M623" s="3"/>
      <c r="N623" s="6"/>
      <c r="O623" s="6"/>
      <c r="P623" s="6"/>
      <c r="Q623" s="6"/>
      <c r="R623" s="6"/>
      <c r="S623" s="6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18"/>
      <c r="J624" s="3"/>
      <c r="K624" s="3"/>
      <c r="L624" s="3"/>
      <c r="M624" s="3"/>
      <c r="N624" s="6"/>
      <c r="O624" s="6"/>
      <c r="P624" s="6"/>
      <c r="Q624" s="6"/>
      <c r="R624" s="6"/>
      <c r="S624" s="6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18"/>
      <c r="J625" s="3"/>
      <c r="K625" s="3"/>
      <c r="L625" s="3"/>
      <c r="M625" s="3"/>
      <c r="N625" s="6"/>
      <c r="O625" s="6"/>
      <c r="P625" s="6"/>
      <c r="Q625" s="6"/>
      <c r="R625" s="6"/>
      <c r="S625" s="6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18"/>
      <c r="J626" s="3"/>
      <c r="K626" s="3"/>
      <c r="L626" s="3"/>
      <c r="M626" s="3"/>
      <c r="N626" s="6"/>
      <c r="O626" s="6"/>
      <c r="P626" s="6"/>
      <c r="Q626" s="6"/>
      <c r="R626" s="6"/>
      <c r="S626" s="6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18"/>
      <c r="J627" s="3"/>
      <c r="K627" s="3"/>
      <c r="L627" s="3"/>
      <c r="M627" s="3"/>
      <c r="N627" s="6"/>
      <c r="O627" s="6"/>
      <c r="P627" s="6"/>
      <c r="Q627" s="6"/>
      <c r="R627" s="6"/>
      <c r="S627" s="6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18"/>
      <c r="J628" s="3"/>
      <c r="K628" s="3"/>
      <c r="L628" s="3"/>
      <c r="M628" s="3"/>
      <c r="N628" s="6"/>
      <c r="O628" s="6"/>
      <c r="P628" s="6"/>
      <c r="Q628" s="6"/>
      <c r="R628" s="6"/>
      <c r="S628" s="6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18"/>
      <c r="J629" s="3"/>
      <c r="K629" s="3"/>
      <c r="L629" s="3"/>
      <c r="M629" s="3"/>
      <c r="N629" s="6"/>
      <c r="O629" s="6"/>
      <c r="P629" s="6"/>
      <c r="Q629" s="6"/>
      <c r="R629" s="6"/>
      <c r="S629" s="6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18"/>
      <c r="J630" s="3"/>
      <c r="K630" s="3"/>
      <c r="L630" s="3"/>
      <c r="M630" s="3"/>
      <c r="N630" s="6"/>
      <c r="O630" s="6"/>
      <c r="P630" s="6"/>
      <c r="Q630" s="6"/>
      <c r="R630" s="6"/>
      <c r="S630" s="6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18"/>
      <c r="J631" s="3"/>
      <c r="K631" s="3"/>
      <c r="L631" s="3"/>
      <c r="M631" s="3"/>
      <c r="N631" s="6"/>
      <c r="O631" s="6"/>
      <c r="P631" s="6"/>
      <c r="Q631" s="6"/>
      <c r="R631" s="6"/>
      <c r="S631" s="6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18"/>
      <c r="J632" s="3"/>
      <c r="K632" s="3"/>
      <c r="L632" s="3"/>
      <c r="M632" s="3"/>
      <c r="N632" s="6"/>
      <c r="O632" s="6"/>
      <c r="P632" s="6"/>
      <c r="Q632" s="6"/>
      <c r="R632" s="6"/>
      <c r="S632" s="6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18"/>
      <c r="J633" s="3"/>
      <c r="K633" s="3"/>
      <c r="L633" s="3"/>
      <c r="M633" s="3"/>
      <c r="N633" s="6"/>
      <c r="O633" s="6"/>
      <c r="P633" s="6"/>
      <c r="Q633" s="6"/>
      <c r="R633" s="6"/>
      <c r="S633" s="6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18"/>
      <c r="J634" s="3"/>
      <c r="K634" s="3"/>
      <c r="L634" s="3"/>
      <c r="M634" s="3"/>
      <c r="N634" s="6"/>
      <c r="O634" s="6"/>
      <c r="P634" s="6"/>
      <c r="Q634" s="6"/>
      <c r="R634" s="6"/>
      <c r="S634" s="6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18"/>
      <c r="J635" s="3"/>
      <c r="K635" s="3"/>
      <c r="L635" s="3"/>
      <c r="M635" s="3"/>
      <c r="N635" s="6"/>
      <c r="O635" s="6"/>
      <c r="P635" s="6"/>
      <c r="Q635" s="6"/>
      <c r="R635" s="6"/>
      <c r="S635" s="6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18"/>
      <c r="J636" s="3"/>
      <c r="K636" s="3"/>
      <c r="L636" s="3"/>
      <c r="M636" s="3"/>
      <c r="N636" s="6"/>
      <c r="O636" s="6"/>
      <c r="P636" s="6"/>
      <c r="Q636" s="6"/>
      <c r="R636" s="6"/>
      <c r="S636" s="6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18"/>
      <c r="J637" s="3"/>
      <c r="K637" s="3"/>
      <c r="L637" s="3"/>
      <c r="M637" s="3"/>
      <c r="N637" s="6"/>
      <c r="O637" s="6"/>
      <c r="P637" s="6"/>
      <c r="Q637" s="6"/>
      <c r="R637" s="6"/>
      <c r="S637" s="6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18"/>
      <c r="J638" s="3"/>
      <c r="K638" s="3"/>
      <c r="L638" s="3"/>
      <c r="M638" s="3"/>
      <c r="N638" s="6"/>
      <c r="O638" s="6"/>
      <c r="P638" s="6"/>
      <c r="Q638" s="6"/>
      <c r="R638" s="6"/>
      <c r="S638" s="6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18"/>
      <c r="J639" s="3"/>
      <c r="K639" s="3"/>
      <c r="L639" s="3"/>
      <c r="M639" s="3"/>
      <c r="N639" s="6"/>
      <c r="O639" s="6"/>
      <c r="P639" s="6"/>
      <c r="Q639" s="6"/>
      <c r="R639" s="6"/>
      <c r="S639" s="6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18"/>
      <c r="J640" s="3"/>
      <c r="K640" s="3"/>
      <c r="L640" s="3"/>
      <c r="M640" s="3"/>
      <c r="N640" s="6"/>
      <c r="O640" s="6"/>
      <c r="P640" s="6"/>
      <c r="Q640" s="6"/>
      <c r="R640" s="6"/>
      <c r="S640" s="6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18"/>
      <c r="J641" s="3"/>
      <c r="K641" s="3"/>
      <c r="L641" s="3"/>
      <c r="M641" s="3"/>
      <c r="N641" s="6"/>
      <c r="O641" s="6"/>
      <c r="P641" s="6"/>
      <c r="Q641" s="6"/>
      <c r="R641" s="6"/>
      <c r="S641" s="6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18"/>
      <c r="J642" s="3"/>
      <c r="K642" s="3"/>
      <c r="L642" s="3"/>
      <c r="M642" s="3"/>
      <c r="N642" s="6"/>
      <c r="O642" s="6"/>
      <c r="P642" s="6"/>
      <c r="Q642" s="6"/>
      <c r="R642" s="6"/>
      <c r="S642" s="6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18"/>
      <c r="J643" s="3"/>
      <c r="K643" s="3"/>
      <c r="L643" s="3"/>
      <c r="M643" s="3"/>
      <c r="N643" s="6"/>
      <c r="O643" s="6"/>
      <c r="P643" s="6"/>
      <c r="Q643" s="6"/>
      <c r="R643" s="6"/>
      <c r="S643" s="6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18"/>
      <c r="J644" s="3"/>
      <c r="K644" s="3"/>
      <c r="L644" s="3"/>
      <c r="M644" s="3"/>
      <c r="N644" s="6"/>
      <c r="O644" s="6"/>
      <c r="P644" s="6"/>
      <c r="Q644" s="6"/>
      <c r="R644" s="6"/>
      <c r="S644" s="6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18"/>
      <c r="J645" s="3"/>
      <c r="K645" s="3"/>
      <c r="L645" s="3"/>
      <c r="M645" s="3"/>
      <c r="N645" s="6"/>
      <c r="O645" s="6"/>
      <c r="P645" s="6"/>
      <c r="Q645" s="6"/>
      <c r="R645" s="6"/>
      <c r="S645" s="6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18"/>
      <c r="J646" s="3"/>
      <c r="K646" s="3"/>
      <c r="L646" s="3"/>
      <c r="M646" s="3"/>
      <c r="N646" s="6"/>
      <c r="O646" s="6"/>
      <c r="P646" s="6"/>
      <c r="Q646" s="6"/>
      <c r="R646" s="6"/>
      <c r="S646" s="6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18"/>
      <c r="J647" s="3"/>
      <c r="K647" s="3"/>
      <c r="L647" s="3"/>
      <c r="M647" s="3"/>
      <c r="N647" s="6"/>
      <c r="O647" s="6"/>
      <c r="P647" s="6"/>
      <c r="Q647" s="6"/>
      <c r="R647" s="6"/>
      <c r="S647" s="6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18"/>
      <c r="J648" s="3"/>
      <c r="K648" s="3"/>
      <c r="L648" s="3"/>
      <c r="M648" s="3"/>
      <c r="N648" s="6"/>
      <c r="O648" s="6"/>
      <c r="P648" s="6"/>
      <c r="Q648" s="6"/>
      <c r="R648" s="6"/>
      <c r="S648" s="6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18"/>
      <c r="J649" s="3"/>
      <c r="K649" s="3"/>
      <c r="L649" s="3"/>
      <c r="M649" s="3"/>
      <c r="N649" s="6"/>
      <c r="O649" s="6"/>
      <c r="P649" s="6"/>
      <c r="Q649" s="6"/>
      <c r="R649" s="6"/>
      <c r="S649" s="6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18"/>
      <c r="J650" s="3"/>
      <c r="K650" s="3"/>
      <c r="L650" s="3"/>
      <c r="M650" s="3"/>
      <c r="N650" s="6"/>
      <c r="O650" s="6"/>
      <c r="P650" s="6"/>
      <c r="Q650" s="6"/>
      <c r="R650" s="6"/>
      <c r="S650" s="6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18"/>
      <c r="J651" s="3"/>
      <c r="K651" s="3"/>
      <c r="L651" s="3"/>
      <c r="M651" s="3"/>
      <c r="N651" s="6"/>
      <c r="O651" s="6"/>
      <c r="P651" s="6"/>
      <c r="Q651" s="6"/>
      <c r="R651" s="6"/>
      <c r="S651" s="6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18"/>
      <c r="J652" s="3"/>
      <c r="K652" s="3"/>
      <c r="L652" s="3"/>
      <c r="M652" s="3"/>
      <c r="N652" s="6"/>
      <c r="O652" s="6"/>
      <c r="P652" s="6"/>
      <c r="Q652" s="6"/>
      <c r="R652" s="6"/>
      <c r="S652" s="6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18"/>
      <c r="J653" s="3"/>
      <c r="K653" s="3"/>
      <c r="L653" s="3"/>
      <c r="M653" s="3"/>
      <c r="N653" s="6"/>
      <c r="O653" s="6"/>
      <c r="P653" s="6"/>
      <c r="Q653" s="6"/>
      <c r="R653" s="6"/>
      <c r="S653" s="6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18"/>
      <c r="J654" s="3"/>
      <c r="K654" s="3"/>
      <c r="L654" s="3"/>
      <c r="M654" s="3"/>
      <c r="N654" s="6"/>
      <c r="O654" s="6"/>
      <c r="P654" s="6"/>
      <c r="Q654" s="6"/>
      <c r="R654" s="6"/>
      <c r="S654" s="6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18"/>
      <c r="J655" s="3"/>
      <c r="K655" s="3"/>
      <c r="L655" s="3"/>
      <c r="M655" s="3"/>
      <c r="N655" s="6"/>
      <c r="O655" s="6"/>
      <c r="P655" s="6"/>
      <c r="Q655" s="6"/>
      <c r="R655" s="6"/>
      <c r="S655" s="6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18"/>
      <c r="J656" s="3"/>
      <c r="K656" s="3"/>
      <c r="L656" s="3"/>
      <c r="M656" s="3"/>
      <c r="N656" s="6"/>
      <c r="O656" s="6"/>
      <c r="P656" s="6"/>
      <c r="Q656" s="6"/>
      <c r="R656" s="6"/>
      <c r="S656" s="6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18"/>
      <c r="J657" s="3"/>
      <c r="K657" s="3"/>
      <c r="L657" s="3"/>
      <c r="M657" s="3"/>
      <c r="N657" s="6"/>
      <c r="O657" s="6"/>
      <c r="P657" s="6"/>
      <c r="Q657" s="6"/>
      <c r="R657" s="6"/>
      <c r="S657" s="6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18"/>
      <c r="J658" s="3"/>
      <c r="K658" s="3"/>
      <c r="L658" s="3"/>
      <c r="M658" s="3"/>
      <c r="N658" s="6"/>
      <c r="O658" s="6"/>
      <c r="P658" s="6"/>
      <c r="Q658" s="6"/>
      <c r="R658" s="6"/>
      <c r="S658" s="6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18"/>
      <c r="J659" s="3"/>
      <c r="K659" s="3"/>
      <c r="L659" s="3"/>
      <c r="M659" s="3"/>
      <c r="N659" s="6"/>
      <c r="O659" s="6"/>
      <c r="P659" s="6"/>
      <c r="Q659" s="6"/>
      <c r="R659" s="6"/>
      <c r="S659" s="6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18"/>
      <c r="J660" s="3"/>
      <c r="K660" s="3"/>
      <c r="L660" s="3"/>
      <c r="M660" s="3"/>
      <c r="N660" s="6"/>
      <c r="O660" s="6"/>
      <c r="P660" s="6"/>
      <c r="Q660" s="6"/>
      <c r="R660" s="6"/>
      <c r="S660" s="6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18"/>
      <c r="J661" s="3"/>
      <c r="K661" s="3"/>
      <c r="L661" s="3"/>
      <c r="M661" s="3"/>
      <c r="N661" s="6"/>
      <c r="O661" s="6"/>
      <c r="P661" s="6"/>
      <c r="Q661" s="6"/>
      <c r="R661" s="6"/>
      <c r="S661" s="6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18"/>
      <c r="J662" s="3"/>
      <c r="K662" s="3"/>
      <c r="L662" s="3"/>
      <c r="M662" s="3"/>
      <c r="N662" s="6"/>
      <c r="O662" s="6"/>
      <c r="P662" s="6"/>
      <c r="Q662" s="6"/>
      <c r="R662" s="6"/>
      <c r="S662" s="6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18"/>
      <c r="J663" s="3"/>
      <c r="K663" s="3"/>
      <c r="L663" s="3"/>
      <c r="M663" s="3"/>
      <c r="N663" s="6"/>
      <c r="O663" s="6"/>
      <c r="P663" s="6"/>
      <c r="Q663" s="6"/>
      <c r="R663" s="6"/>
      <c r="S663" s="6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18"/>
      <c r="J664" s="3"/>
      <c r="K664" s="3"/>
      <c r="L664" s="3"/>
      <c r="M664" s="3"/>
      <c r="N664" s="6"/>
      <c r="O664" s="6"/>
      <c r="P664" s="6"/>
      <c r="Q664" s="6"/>
      <c r="R664" s="6"/>
      <c r="S664" s="6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18"/>
      <c r="J665" s="3"/>
      <c r="K665" s="3"/>
      <c r="L665" s="3"/>
      <c r="M665" s="3"/>
      <c r="N665" s="6"/>
      <c r="O665" s="6"/>
      <c r="P665" s="6"/>
      <c r="Q665" s="6"/>
      <c r="R665" s="6"/>
      <c r="S665" s="6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18"/>
      <c r="J666" s="3"/>
      <c r="K666" s="3"/>
      <c r="L666" s="3"/>
      <c r="M666" s="3"/>
      <c r="N666" s="6"/>
      <c r="O666" s="6"/>
      <c r="P666" s="6"/>
      <c r="Q666" s="6"/>
      <c r="R666" s="6"/>
      <c r="S666" s="6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18"/>
      <c r="J667" s="3"/>
      <c r="K667" s="3"/>
      <c r="L667" s="3"/>
      <c r="M667" s="3"/>
      <c r="N667" s="6"/>
      <c r="O667" s="6"/>
      <c r="P667" s="6"/>
      <c r="Q667" s="6"/>
      <c r="R667" s="6"/>
      <c r="S667" s="6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18"/>
      <c r="J668" s="3"/>
      <c r="K668" s="3"/>
      <c r="L668" s="3"/>
      <c r="M668" s="3"/>
      <c r="N668" s="6"/>
      <c r="O668" s="6"/>
      <c r="P668" s="6"/>
      <c r="Q668" s="6"/>
      <c r="R668" s="6"/>
      <c r="S668" s="6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18"/>
      <c r="J669" s="3"/>
      <c r="K669" s="3"/>
      <c r="L669" s="3"/>
      <c r="M669" s="3"/>
      <c r="N669" s="6"/>
      <c r="O669" s="6"/>
      <c r="P669" s="6"/>
      <c r="Q669" s="6"/>
      <c r="R669" s="6"/>
      <c r="S669" s="6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18"/>
      <c r="J670" s="3"/>
      <c r="K670" s="3"/>
      <c r="L670" s="3"/>
      <c r="M670" s="3"/>
      <c r="N670" s="6"/>
      <c r="O670" s="6"/>
      <c r="P670" s="6"/>
      <c r="Q670" s="6"/>
      <c r="R670" s="6"/>
      <c r="S670" s="6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18"/>
      <c r="J671" s="3"/>
      <c r="K671" s="3"/>
      <c r="L671" s="3"/>
      <c r="M671" s="3"/>
      <c r="N671" s="6"/>
      <c r="O671" s="6"/>
      <c r="P671" s="6"/>
      <c r="Q671" s="6"/>
      <c r="R671" s="6"/>
      <c r="S671" s="6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18"/>
      <c r="J672" s="3"/>
      <c r="K672" s="3"/>
      <c r="L672" s="3"/>
      <c r="M672" s="3"/>
      <c r="N672" s="6"/>
      <c r="O672" s="6"/>
      <c r="P672" s="6"/>
      <c r="Q672" s="6"/>
      <c r="R672" s="6"/>
      <c r="S672" s="6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18"/>
      <c r="J673" s="3"/>
      <c r="K673" s="3"/>
      <c r="L673" s="3"/>
      <c r="M673" s="3"/>
      <c r="N673" s="6"/>
      <c r="O673" s="6"/>
      <c r="P673" s="6"/>
      <c r="Q673" s="6"/>
      <c r="R673" s="6"/>
      <c r="S673" s="6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18"/>
      <c r="J674" s="3"/>
      <c r="K674" s="3"/>
      <c r="L674" s="3"/>
      <c r="M674" s="3"/>
      <c r="N674" s="6"/>
      <c r="O674" s="6"/>
      <c r="P674" s="6"/>
      <c r="Q674" s="6"/>
      <c r="R674" s="6"/>
      <c r="S674" s="6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18"/>
      <c r="J675" s="3"/>
      <c r="K675" s="3"/>
      <c r="L675" s="3"/>
      <c r="M675" s="3"/>
      <c r="N675" s="6"/>
      <c r="O675" s="6"/>
      <c r="P675" s="6"/>
      <c r="Q675" s="6"/>
      <c r="R675" s="6"/>
      <c r="S675" s="6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18"/>
      <c r="J676" s="3"/>
      <c r="K676" s="3"/>
      <c r="L676" s="3"/>
      <c r="M676" s="3"/>
      <c r="N676" s="6"/>
      <c r="O676" s="6"/>
      <c r="P676" s="6"/>
      <c r="Q676" s="6"/>
      <c r="R676" s="6"/>
      <c r="S676" s="6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18"/>
      <c r="J677" s="3"/>
      <c r="K677" s="3"/>
      <c r="L677" s="3"/>
      <c r="M677" s="3"/>
      <c r="N677" s="6"/>
      <c r="O677" s="6"/>
      <c r="P677" s="6"/>
      <c r="Q677" s="6"/>
      <c r="R677" s="6"/>
      <c r="S677" s="6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18"/>
      <c r="J678" s="3"/>
      <c r="K678" s="3"/>
      <c r="L678" s="3"/>
      <c r="M678" s="3"/>
      <c r="N678" s="6"/>
      <c r="O678" s="6"/>
      <c r="P678" s="6"/>
      <c r="Q678" s="6"/>
      <c r="R678" s="6"/>
      <c r="S678" s="6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18"/>
      <c r="J679" s="3"/>
      <c r="K679" s="3"/>
      <c r="L679" s="3"/>
      <c r="M679" s="3"/>
      <c r="N679" s="6"/>
      <c r="O679" s="6"/>
      <c r="P679" s="6"/>
      <c r="Q679" s="6"/>
      <c r="R679" s="6"/>
      <c r="S679" s="6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18"/>
      <c r="J680" s="3"/>
      <c r="K680" s="3"/>
      <c r="L680" s="3"/>
      <c r="M680" s="3"/>
      <c r="N680" s="6"/>
      <c r="O680" s="6"/>
      <c r="P680" s="6"/>
      <c r="Q680" s="6"/>
      <c r="R680" s="6"/>
      <c r="S680" s="6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18"/>
      <c r="J681" s="3"/>
      <c r="K681" s="3"/>
      <c r="L681" s="3"/>
      <c r="M681" s="3"/>
      <c r="N681" s="6"/>
      <c r="O681" s="6"/>
      <c r="P681" s="6"/>
      <c r="Q681" s="6"/>
      <c r="R681" s="6"/>
      <c r="S681" s="6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18"/>
      <c r="J682" s="3"/>
      <c r="K682" s="3"/>
      <c r="L682" s="3"/>
      <c r="M682" s="3"/>
      <c r="N682" s="6"/>
      <c r="O682" s="6"/>
      <c r="P682" s="6"/>
      <c r="Q682" s="6"/>
      <c r="R682" s="6"/>
      <c r="S682" s="6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18"/>
      <c r="J683" s="3"/>
      <c r="K683" s="3"/>
      <c r="L683" s="3"/>
      <c r="M683" s="3"/>
      <c r="N683" s="6"/>
      <c r="O683" s="6"/>
      <c r="P683" s="6"/>
      <c r="Q683" s="6"/>
      <c r="R683" s="6"/>
      <c r="S683" s="6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18"/>
      <c r="J684" s="3"/>
      <c r="K684" s="3"/>
      <c r="L684" s="3"/>
      <c r="M684" s="3"/>
      <c r="N684" s="6"/>
      <c r="O684" s="6"/>
      <c r="P684" s="6"/>
      <c r="Q684" s="6"/>
      <c r="R684" s="6"/>
      <c r="S684" s="6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18"/>
      <c r="J685" s="3"/>
      <c r="K685" s="3"/>
      <c r="L685" s="3"/>
      <c r="M685" s="3"/>
      <c r="N685" s="6"/>
      <c r="O685" s="6"/>
      <c r="P685" s="6"/>
      <c r="Q685" s="6"/>
      <c r="R685" s="6"/>
      <c r="S685" s="6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18"/>
      <c r="J686" s="3"/>
      <c r="K686" s="3"/>
      <c r="L686" s="3"/>
      <c r="M686" s="3"/>
      <c r="N686" s="6"/>
      <c r="O686" s="6"/>
      <c r="P686" s="6"/>
      <c r="Q686" s="6"/>
      <c r="R686" s="6"/>
      <c r="S686" s="6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18"/>
      <c r="J687" s="3"/>
      <c r="K687" s="3"/>
      <c r="L687" s="3"/>
      <c r="M687" s="3"/>
      <c r="N687" s="6"/>
      <c r="O687" s="6"/>
      <c r="P687" s="6"/>
      <c r="Q687" s="6"/>
      <c r="R687" s="6"/>
      <c r="S687" s="6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18"/>
      <c r="J688" s="3"/>
      <c r="K688" s="3"/>
      <c r="L688" s="3"/>
      <c r="M688" s="3"/>
      <c r="N688" s="6"/>
      <c r="O688" s="6"/>
      <c r="P688" s="6"/>
      <c r="Q688" s="6"/>
      <c r="R688" s="6"/>
      <c r="S688" s="6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18"/>
      <c r="J689" s="3"/>
      <c r="K689" s="3"/>
      <c r="L689" s="3"/>
      <c r="M689" s="3"/>
      <c r="N689" s="6"/>
      <c r="O689" s="6"/>
      <c r="P689" s="6"/>
      <c r="Q689" s="6"/>
      <c r="R689" s="6"/>
      <c r="S689" s="6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18"/>
      <c r="J690" s="3"/>
      <c r="K690" s="3"/>
      <c r="L690" s="3"/>
      <c r="M690" s="3"/>
      <c r="N690" s="6"/>
      <c r="O690" s="6"/>
      <c r="P690" s="6"/>
      <c r="Q690" s="6"/>
      <c r="R690" s="6"/>
      <c r="S690" s="6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18"/>
      <c r="J691" s="3"/>
      <c r="K691" s="3"/>
      <c r="L691" s="3"/>
      <c r="M691" s="3"/>
      <c r="N691" s="6"/>
      <c r="O691" s="6"/>
      <c r="P691" s="6"/>
      <c r="Q691" s="6"/>
      <c r="R691" s="6"/>
      <c r="S691" s="6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18"/>
      <c r="J692" s="3"/>
      <c r="K692" s="3"/>
      <c r="L692" s="3"/>
      <c r="M692" s="3"/>
      <c r="N692" s="6"/>
      <c r="O692" s="6"/>
      <c r="P692" s="6"/>
      <c r="Q692" s="6"/>
      <c r="R692" s="6"/>
      <c r="S692" s="6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18"/>
      <c r="J693" s="3"/>
      <c r="K693" s="3"/>
      <c r="L693" s="3"/>
      <c r="M693" s="3"/>
      <c r="N693" s="6"/>
      <c r="O693" s="6"/>
      <c r="P693" s="6"/>
      <c r="Q693" s="6"/>
      <c r="R693" s="6"/>
      <c r="S693" s="6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18"/>
      <c r="J694" s="3"/>
      <c r="K694" s="3"/>
      <c r="L694" s="3"/>
      <c r="M694" s="3"/>
      <c r="N694" s="6"/>
      <c r="O694" s="6"/>
      <c r="P694" s="6"/>
      <c r="Q694" s="6"/>
      <c r="R694" s="6"/>
      <c r="S694" s="6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18"/>
      <c r="J695" s="3"/>
      <c r="K695" s="3"/>
      <c r="L695" s="3"/>
      <c r="M695" s="3"/>
      <c r="N695" s="6"/>
      <c r="O695" s="6"/>
      <c r="P695" s="6"/>
      <c r="Q695" s="6"/>
      <c r="R695" s="6"/>
      <c r="S695" s="6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18"/>
      <c r="J696" s="3"/>
      <c r="K696" s="3"/>
      <c r="L696" s="3"/>
      <c r="M696" s="3"/>
      <c r="N696" s="6"/>
      <c r="O696" s="6"/>
      <c r="P696" s="6"/>
      <c r="Q696" s="6"/>
      <c r="R696" s="6"/>
      <c r="S696" s="6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18"/>
      <c r="J697" s="3"/>
      <c r="K697" s="3"/>
      <c r="L697" s="3"/>
      <c r="M697" s="3"/>
      <c r="N697" s="6"/>
      <c r="O697" s="6"/>
      <c r="P697" s="6"/>
      <c r="Q697" s="6"/>
      <c r="R697" s="6"/>
      <c r="S697" s="6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18"/>
      <c r="J698" s="3"/>
      <c r="K698" s="3"/>
      <c r="L698" s="3"/>
      <c r="M698" s="3"/>
      <c r="N698" s="6"/>
      <c r="O698" s="6"/>
      <c r="P698" s="6"/>
      <c r="Q698" s="6"/>
      <c r="R698" s="6"/>
      <c r="S698" s="6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18"/>
      <c r="J699" s="3"/>
      <c r="K699" s="3"/>
      <c r="L699" s="3"/>
      <c r="M699" s="3"/>
      <c r="N699" s="6"/>
      <c r="O699" s="6"/>
      <c r="P699" s="6"/>
      <c r="Q699" s="6"/>
      <c r="R699" s="6"/>
      <c r="S699" s="6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18"/>
      <c r="J700" s="3"/>
      <c r="K700" s="3"/>
      <c r="L700" s="3"/>
      <c r="M700" s="3"/>
      <c r="N700" s="6"/>
      <c r="O700" s="6"/>
      <c r="P700" s="6"/>
      <c r="Q700" s="6"/>
      <c r="R700" s="6"/>
      <c r="S700" s="6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18"/>
      <c r="J701" s="3"/>
      <c r="K701" s="3"/>
      <c r="L701" s="3"/>
      <c r="M701" s="3"/>
      <c r="N701" s="6"/>
      <c r="O701" s="6"/>
      <c r="P701" s="6"/>
      <c r="Q701" s="6"/>
      <c r="R701" s="6"/>
      <c r="S701" s="6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18"/>
      <c r="J702" s="3"/>
      <c r="K702" s="3"/>
      <c r="L702" s="3"/>
      <c r="M702" s="3"/>
      <c r="N702" s="6"/>
      <c r="O702" s="6"/>
      <c r="P702" s="6"/>
      <c r="Q702" s="6"/>
      <c r="R702" s="6"/>
      <c r="S702" s="6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18"/>
      <c r="J703" s="3"/>
      <c r="K703" s="3"/>
      <c r="L703" s="3"/>
      <c r="M703" s="3"/>
      <c r="N703" s="6"/>
      <c r="O703" s="6"/>
      <c r="P703" s="6"/>
      <c r="Q703" s="6"/>
      <c r="R703" s="6"/>
      <c r="S703" s="6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18"/>
      <c r="J704" s="3"/>
      <c r="K704" s="3"/>
      <c r="L704" s="3"/>
      <c r="M704" s="3"/>
      <c r="N704" s="6"/>
      <c r="O704" s="6"/>
      <c r="P704" s="6"/>
      <c r="Q704" s="6"/>
      <c r="R704" s="6"/>
      <c r="S704" s="6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18"/>
      <c r="J705" s="3"/>
      <c r="K705" s="3"/>
      <c r="L705" s="3"/>
      <c r="M705" s="3"/>
      <c r="N705" s="6"/>
      <c r="O705" s="6"/>
      <c r="P705" s="6"/>
      <c r="Q705" s="6"/>
      <c r="R705" s="6"/>
      <c r="S705" s="6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18"/>
      <c r="J706" s="3"/>
      <c r="K706" s="3"/>
      <c r="L706" s="3"/>
      <c r="M706" s="3"/>
      <c r="N706" s="6"/>
      <c r="O706" s="6"/>
      <c r="P706" s="6"/>
      <c r="Q706" s="6"/>
      <c r="R706" s="6"/>
      <c r="S706" s="6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18"/>
      <c r="J707" s="3"/>
      <c r="K707" s="3"/>
      <c r="L707" s="3"/>
      <c r="M707" s="3"/>
      <c r="N707" s="6"/>
      <c r="O707" s="6"/>
      <c r="P707" s="6"/>
      <c r="Q707" s="6"/>
      <c r="R707" s="6"/>
      <c r="S707" s="6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18"/>
      <c r="J708" s="3"/>
      <c r="K708" s="3"/>
      <c r="L708" s="3"/>
      <c r="M708" s="3"/>
      <c r="N708" s="6"/>
      <c r="O708" s="6"/>
      <c r="P708" s="6"/>
      <c r="Q708" s="6"/>
      <c r="R708" s="6"/>
      <c r="S708" s="6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18"/>
      <c r="J709" s="3"/>
      <c r="K709" s="3"/>
      <c r="L709" s="3"/>
      <c r="M709" s="3"/>
      <c r="N709" s="6"/>
      <c r="O709" s="6"/>
      <c r="P709" s="6"/>
      <c r="Q709" s="6"/>
      <c r="R709" s="6"/>
      <c r="S709" s="6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18"/>
      <c r="J710" s="3"/>
      <c r="K710" s="3"/>
      <c r="L710" s="3"/>
      <c r="M710" s="3"/>
      <c r="N710" s="6"/>
      <c r="O710" s="6"/>
      <c r="P710" s="6"/>
      <c r="Q710" s="6"/>
      <c r="R710" s="6"/>
      <c r="S710" s="6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18"/>
      <c r="J711" s="3"/>
      <c r="K711" s="3"/>
      <c r="L711" s="3"/>
      <c r="M711" s="3"/>
      <c r="N711" s="6"/>
      <c r="O711" s="6"/>
      <c r="P711" s="6"/>
      <c r="Q711" s="6"/>
      <c r="R711" s="6"/>
      <c r="S711" s="6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18"/>
      <c r="J712" s="3"/>
      <c r="K712" s="3"/>
      <c r="L712" s="3"/>
      <c r="M712" s="3"/>
      <c r="N712" s="6"/>
      <c r="O712" s="6"/>
      <c r="P712" s="6"/>
      <c r="Q712" s="6"/>
      <c r="R712" s="6"/>
      <c r="S712" s="6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18"/>
      <c r="J713" s="3"/>
      <c r="K713" s="3"/>
      <c r="L713" s="3"/>
      <c r="M713" s="3"/>
      <c r="N713" s="6"/>
      <c r="O713" s="6"/>
      <c r="P713" s="6"/>
      <c r="Q713" s="6"/>
      <c r="R713" s="6"/>
      <c r="S713" s="6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18"/>
      <c r="J714" s="3"/>
      <c r="K714" s="3"/>
      <c r="L714" s="3"/>
      <c r="M714" s="3"/>
      <c r="N714" s="6"/>
      <c r="O714" s="6"/>
      <c r="P714" s="6"/>
      <c r="Q714" s="6"/>
      <c r="R714" s="6"/>
      <c r="S714" s="6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18"/>
      <c r="J715" s="3"/>
      <c r="K715" s="3"/>
      <c r="L715" s="3"/>
      <c r="M715" s="3"/>
      <c r="N715" s="6"/>
      <c r="O715" s="6"/>
      <c r="P715" s="6"/>
      <c r="Q715" s="6"/>
      <c r="R715" s="6"/>
      <c r="S715" s="6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18"/>
      <c r="J716" s="3"/>
      <c r="K716" s="3"/>
      <c r="L716" s="3"/>
      <c r="M716" s="3"/>
      <c r="N716" s="6"/>
      <c r="O716" s="6"/>
      <c r="P716" s="6"/>
      <c r="Q716" s="6"/>
      <c r="R716" s="6"/>
      <c r="S716" s="6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18"/>
      <c r="J717" s="3"/>
      <c r="K717" s="3"/>
      <c r="L717" s="3"/>
      <c r="M717" s="3"/>
      <c r="N717" s="6"/>
      <c r="O717" s="6"/>
      <c r="P717" s="6"/>
      <c r="Q717" s="6"/>
      <c r="R717" s="6"/>
      <c r="S717" s="6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18"/>
      <c r="J718" s="3"/>
      <c r="K718" s="3"/>
      <c r="L718" s="3"/>
      <c r="M718" s="3"/>
      <c r="N718" s="6"/>
      <c r="O718" s="6"/>
      <c r="P718" s="6"/>
      <c r="Q718" s="6"/>
      <c r="R718" s="6"/>
      <c r="S718" s="6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18"/>
      <c r="J719" s="3"/>
      <c r="K719" s="3"/>
      <c r="L719" s="3"/>
      <c r="M719" s="3"/>
      <c r="N719" s="6"/>
      <c r="O719" s="6"/>
      <c r="P719" s="6"/>
      <c r="Q719" s="6"/>
      <c r="R719" s="6"/>
      <c r="S719" s="6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18"/>
      <c r="J720" s="3"/>
      <c r="K720" s="3"/>
      <c r="L720" s="3"/>
      <c r="M720" s="3"/>
      <c r="N720" s="6"/>
      <c r="O720" s="6"/>
      <c r="P720" s="6"/>
      <c r="Q720" s="6"/>
      <c r="R720" s="6"/>
      <c r="S720" s="6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18"/>
      <c r="J721" s="3"/>
      <c r="K721" s="3"/>
      <c r="L721" s="3"/>
      <c r="M721" s="3"/>
      <c r="N721" s="6"/>
      <c r="O721" s="6"/>
      <c r="P721" s="6"/>
      <c r="Q721" s="6"/>
      <c r="R721" s="6"/>
      <c r="S721" s="6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18"/>
      <c r="J722" s="3"/>
      <c r="K722" s="3"/>
      <c r="L722" s="3"/>
      <c r="M722" s="3"/>
      <c r="N722" s="6"/>
      <c r="O722" s="6"/>
      <c r="P722" s="6"/>
      <c r="Q722" s="6"/>
      <c r="R722" s="6"/>
      <c r="S722" s="6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18"/>
      <c r="J723" s="3"/>
      <c r="K723" s="3"/>
      <c r="L723" s="3"/>
      <c r="M723" s="3"/>
      <c r="N723" s="6"/>
      <c r="O723" s="6"/>
      <c r="P723" s="6"/>
      <c r="Q723" s="6"/>
      <c r="R723" s="6"/>
      <c r="S723" s="6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18"/>
      <c r="J724" s="3"/>
      <c r="K724" s="3"/>
      <c r="L724" s="3"/>
      <c r="M724" s="3"/>
      <c r="N724" s="6"/>
      <c r="O724" s="6"/>
      <c r="P724" s="6"/>
      <c r="Q724" s="6"/>
      <c r="R724" s="6"/>
      <c r="S724" s="6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18"/>
      <c r="J725" s="3"/>
      <c r="K725" s="3"/>
      <c r="L725" s="3"/>
      <c r="M725" s="3"/>
      <c r="N725" s="6"/>
      <c r="O725" s="6"/>
      <c r="P725" s="6"/>
      <c r="Q725" s="6"/>
      <c r="R725" s="6"/>
      <c r="S725" s="6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18"/>
      <c r="J726" s="3"/>
      <c r="K726" s="3"/>
      <c r="L726" s="3"/>
      <c r="M726" s="3"/>
      <c r="N726" s="6"/>
      <c r="O726" s="6"/>
      <c r="P726" s="6"/>
      <c r="Q726" s="6"/>
      <c r="R726" s="6"/>
      <c r="S726" s="6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18"/>
      <c r="J727" s="3"/>
      <c r="K727" s="3"/>
      <c r="L727" s="3"/>
      <c r="M727" s="3"/>
      <c r="N727" s="6"/>
      <c r="O727" s="6"/>
      <c r="P727" s="6"/>
      <c r="Q727" s="6"/>
      <c r="R727" s="6"/>
      <c r="S727" s="6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18"/>
      <c r="J728" s="3"/>
      <c r="K728" s="3"/>
      <c r="L728" s="3"/>
      <c r="M728" s="3"/>
      <c r="N728" s="6"/>
      <c r="O728" s="6"/>
      <c r="P728" s="6"/>
      <c r="Q728" s="6"/>
      <c r="R728" s="6"/>
      <c r="S728" s="6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18"/>
      <c r="J729" s="3"/>
      <c r="K729" s="3"/>
      <c r="L729" s="3"/>
      <c r="M729" s="3"/>
      <c r="N729" s="6"/>
      <c r="O729" s="6"/>
      <c r="P729" s="6"/>
      <c r="Q729" s="6"/>
      <c r="R729" s="6"/>
      <c r="S729" s="6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18"/>
      <c r="J730" s="3"/>
      <c r="K730" s="3"/>
      <c r="L730" s="3"/>
      <c r="M730" s="3"/>
      <c r="N730" s="6"/>
      <c r="O730" s="6"/>
      <c r="P730" s="6"/>
      <c r="Q730" s="6"/>
      <c r="R730" s="6"/>
      <c r="S730" s="6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18"/>
      <c r="J731" s="3"/>
      <c r="K731" s="3"/>
      <c r="L731" s="3"/>
      <c r="M731" s="3"/>
      <c r="N731" s="6"/>
      <c r="O731" s="6"/>
      <c r="P731" s="6"/>
      <c r="Q731" s="6"/>
      <c r="R731" s="6"/>
      <c r="S731" s="6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18"/>
      <c r="J732" s="3"/>
      <c r="K732" s="3"/>
      <c r="L732" s="3"/>
      <c r="M732" s="3"/>
      <c r="N732" s="6"/>
      <c r="O732" s="6"/>
      <c r="P732" s="6"/>
      <c r="Q732" s="6"/>
      <c r="R732" s="6"/>
      <c r="S732" s="6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18"/>
      <c r="J733" s="3"/>
      <c r="K733" s="3"/>
      <c r="L733" s="3"/>
      <c r="M733" s="3"/>
      <c r="N733" s="6"/>
      <c r="O733" s="6"/>
      <c r="P733" s="6"/>
      <c r="Q733" s="6"/>
      <c r="R733" s="6"/>
      <c r="S733" s="6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18"/>
      <c r="J734" s="3"/>
      <c r="K734" s="3"/>
      <c r="L734" s="3"/>
      <c r="M734" s="3"/>
      <c r="N734" s="6"/>
      <c r="O734" s="6"/>
      <c r="P734" s="6"/>
      <c r="Q734" s="6"/>
      <c r="R734" s="6"/>
      <c r="S734" s="6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18"/>
      <c r="J735" s="3"/>
      <c r="K735" s="3"/>
      <c r="L735" s="3"/>
      <c r="M735" s="3"/>
      <c r="N735" s="6"/>
      <c r="O735" s="6"/>
      <c r="P735" s="6"/>
      <c r="Q735" s="6"/>
      <c r="R735" s="6"/>
      <c r="S735" s="6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18"/>
      <c r="J736" s="3"/>
      <c r="K736" s="3"/>
      <c r="L736" s="3"/>
      <c r="M736" s="3"/>
      <c r="N736" s="6"/>
      <c r="O736" s="6"/>
      <c r="P736" s="6"/>
      <c r="Q736" s="6"/>
      <c r="R736" s="6"/>
      <c r="S736" s="6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18"/>
      <c r="J737" s="3"/>
      <c r="K737" s="3"/>
      <c r="L737" s="3"/>
      <c r="M737" s="3"/>
      <c r="N737" s="6"/>
      <c r="O737" s="6"/>
      <c r="P737" s="6"/>
      <c r="Q737" s="6"/>
      <c r="R737" s="6"/>
      <c r="S737" s="6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18"/>
      <c r="J738" s="3"/>
      <c r="K738" s="3"/>
      <c r="L738" s="3"/>
      <c r="M738" s="3"/>
      <c r="N738" s="6"/>
      <c r="O738" s="6"/>
      <c r="P738" s="6"/>
      <c r="Q738" s="6"/>
      <c r="R738" s="6"/>
      <c r="S738" s="6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18"/>
      <c r="J739" s="3"/>
      <c r="K739" s="3"/>
      <c r="L739" s="3"/>
      <c r="M739" s="3"/>
      <c r="N739" s="6"/>
      <c r="O739" s="6"/>
      <c r="P739" s="6"/>
      <c r="Q739" s="6"/>
      <c r="R739" s="6"/>
      <c r="S739" s="6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18"/>
      <c r="J740" s="3"/>
      <c r="K740" s="3"/>
      <c r="L740" s="3"/>
      <c r="M740" s="3"/>
      <c r="N740" s="6"/>
      <c r="O740" s="6"/>
      <c r="P740" s="6"/>
      <c r="Q740" s="6"/>
      <c r="R740" s="6"/>
      <c r="S740" s="6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18"/>
      <c r="J741" s="3"/>
      <c r="K741" s="3"/>
      <c r="L741" s="3"/>
      <c r="M741" s="3"/>
      <c r="N741" s="6"/>
      <c r="O741" s="6"/>
      <c r="P741" s="6"/>
      <c r="Q741" s="6"/>
      <c r="R741" s="6"/>
      <c r="S741" s="6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18"/>
      <c r="J742" s="3"/>
      <c r="K742" s="3"/>
      <c r="L742" s="3"/>
      <c r="M742" s="3"/>
      <c r="N742" s="6"/>
      <c r="O742" s="6"/>
      <c r="P742" s="6"/>
      <c r="Q742" s="6"/>
      <c r="R742" s="6"/>
      <c r="S742" s="6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18"/>
      <c r="J743" s="3"/>
      <c r="K743" s="3"/>
      <c r="L743" s="3"/>
      <c r="M743" s="3"/>
      <c r="N743" s="6"/>
      <c r="O743" s="6"/>
      <c r="P743" s="6"/>
      <c r="Q743" s="6"/>
      <c r="R743" s="6"/>
      <c r="S743" s="6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18"/>
      <c r="J744" s="3"/>
      <c r="K744" s="3"/>
      <c r="L744" s="3"/>
      <c r="M744" s="3"/>
      <c r="N744" s="6"/>
      <c r="O744" s="6"/>
      <c r="P744" s="6"/>
      <c r="Q744" s="6"/>
      <c r="R744" s="6"/>
      <c r="S744" s="6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18"/>
      <c r="J745" s="3"/>
      <c r="K745" s="3"/>
      <c r="L745" s="3"/>
      <c r="M745" s="3"/>
      <c r="N745" s="6"/>
      <c r="O745" s="6"/>
      <c r="P745" s="6"/>
      <c r="Q745" s="6"/>
      <c r="R745" s="6"/>
      <c r="S745" s="6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18"/>
      <c r="J746" s="3"/>
      <c r="K746" s="3"/>
      <c r="L746" s="3"/>
      <c r="M746" s="3"/>
      <c r="N746" s="6"/>
      <c r="O746" s="6"/>
      <c r="P746" s="6"/>
      <c r="Q746" s="6"/>
      <c r="R746" s="6"/>
      <c r="S746" s="6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18"/>
      <c r="J747" s="3"/>
      <c r="K747" s="3"/>
      <c r="L747" s="3"/>
      <c r="M747" s="3"/>
      <c r="N747" s="6"/>
      <c r="O747" s="6"/>
      <c r="P747" s="6"/>
      <c r="Q747" s="6"/>
      <c r="R747" s="6"/>
      <c r="S747" s="6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18"/>
      <c r="J748" s="3"/>
      <c r="K748" s="3"/>
      <c r="L748" s="3"/>
      <c r="M748" s="3"/>
      <c r="N748" s="6"/>
      <c r="O748" s="6"/>
      <c r="P748" s="6"/>
      <c r="Q748" s="6"/>
      <c r="R748" s="6"/>
      <c r="S748" s="6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18"/>
      <c r="J749" s="3"/>
      <c r="K749" s="3"/>
      <c r="L749" s="3"/>
      <c r="M749" s="3"/>
      <c r="N749" s="6"/>
      <c r="O749" s="6"/>
      <c r="P749" s="6"/>
      <c r="Q749" s="6"/>
      <c r="R749" s="6"/>
      <c r="S749" s="6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18"/>
      <c r="J750" s="3"/>
      <c r="K750" s="3"/>
      <c r="L750" s="3"/>
      <c r="M750" s="3"/>
      <c r="N750" s="6"/>
      <c r="O750" s="6"/>
      <c r="P750" s="6"/>
      <c r="Q750" s="6"/>
      <c r="R750" s="6"/>
      <c r="S750" s="6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18"/>
      <c r="J751" s="3"/>
      <c r="K751" s="3"/>
      <c r="L751" s="3"/>
      <c r="M751" s="3"/>
      <c r="N751" s="6"/>
      <c r="O751" s="6"/>
      <c r="P751" s="6"/>
      <c r="Q751" s="6"/>
      <c r="R751" s="6"/>
      <c r="S751" s="6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18"/>
      <c r="J752" s="3"/>
      <c r="K752" s="3"/>
      <c r="L752" s="3"/>
      <c r="M752" s="3"/>
      <c r="N752" s="6"/>
      <c r="O752" s="6"/>
      <c r="P752" s="6"/>
      <c r="Q752" s="6"/>
      <c r="R752" s="6"/>
      <c r="S752" s="6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18"/>
      <c r="J753" s="3"/>
      <c r="K753" s="3"/>
      <c r="L753" s="3"/>
      <c r="M753" s="3"/>
      <c r="N753" s="6"/>
      <c r="O753" s="6"/>
      <c r="P753" s="6"/>
      <c r="Q753" s="6"/>
      <c r="R753" s="6"/>
      <c r="S753" s="6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18"/>
      <c r="J754" s="3"/>
      <c r="K754" s="3"/>
      <c r="L754" s="3"/>
      <c r="M754" s="3"/>
      <c r="N754" s="6"/>
      <c r="O754" s="6"/>
      <c r="P754" s="6"/>
      <c r="Q754" s="6"/>
      <c r="R754" s="6"/>
      <c r="S754" s="6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18"/>
      <c r="J755" s="3"/>
      <c r="K755" s="3"/>
      <c r="L755" s="3"/>
      <c r="M755" s="3"/>
      <c r="N755" s="6"/>
      <c r="O755" s="6"/>
      <c r="P755" s="6"/>
      <c r="Q755" s="6"/>
      <c r="R755" s="6"/>
      <c r="S755" s="6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18"/>
      <c r="J756" s="3"/>
      <c r="K756" s="3"/>
      <c r="L756" s="3"/>
      <c r="M756" s="3"/>
      <c r="N756" s="6"/>
      <c r="O756" s="6"/>
      <c r="P756" s="6"/>
      <c r="Q756" s="6"/>
      <c r="R756" s="6"/>
      <c r="S756" s="6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18"/>
      <c r="J757" s="3"/>
      <c r="K757" s="3"/>
      <c r="L757" s="3"/>
      <c r="M757" s="3"/>
      <c r="N757" s="6"/>
      <c r="O757" s="6"/>
      <c r="P757" s="6"/>
      <c r="Q757" s="6"/>
      <c r="R757" s="6"/>
      <c r="S757" s="6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18"/>
      <c r="J758" s="3"/>
      <c r="K758" s="3"/>
      <c r="L758" s="3"/>
      <c r="M758" s="3"/>
      <c r="N758" s="6"/>
      <c r="O758" s="6"/>
      <c r="P758" s="6"/>
      <c r="Q758" s="6"/>
      <c r="R758" s="6"/>
      <c r="S758" s="6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18"/>
      <c r="J759" s="3"/>
      <c r="K759" s="3"/>
      <c r="L759" s="3"/>
      <c r="M759" s="3"/>
      <c r="N759" s="6"/>
      <c r="O759" s="6"/>
      <c r="P759" s="6"/>
      <c r="Q759" s="6"/>
      <c r="R759" s="6"/>
      <c r="S759" s="6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18"/>
      <c r="J760" s="3"/>
      <c r="K760" s="3"/>
      <c r="L760" s="3"/>
      <c r="M760" s="3"/>
      <c r="N760" s="6"/>
      <c r="O760" s="6"/>
      <c r="P760" s="6"/>
      <c r="Q760" s="6"/>
      <c r="R760" s="6"/>
      <c r="S760" s="6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18"/>
      <c r="J761" s="3"/>
      <c r="K761" s="3"/>
      <c r="L761" s="3"/>
      <c r="M761" s="3"/>
      <c r="N761" s="6"/>
      <c r="O761" s="6"/>
      <c r="P761" s="6"/>
      <c r="Q761" s="6"/>
      <c r="R761" s="6"/>
      <c r="S761" s="6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18"/>
      <c r="J762" s="3"/>
      <c r="K762" s="3"/>
      <c r="L762" s="3"/>
      <c r="M762" s="3"/>
      <c r="N762" s="6"/>
      <c r="O762" s="6"/>
      <c r="P762" s="6"/>
      <c r="Q762" s="6"/>
      <c r="R762" s="6"/>
      <c r="S762" s="6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18"/>
      <c r="J763" s="3"/>
      <c r="K763" s="3"/>
      <c r="L763" s="3"/>
      <c r="M763" s="3"/>
      <c r="N763" s="6"/>
      <c r="O763" s="6"/>
      <c r="P763" s="6"/>
      <c r="Q763" s="6"/>
      <c r="R763" s="6"/>
      <c r="S763" s="6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18"/>
      <c r="J764" s="3"/>
      <c r="K764" s="3"/>
      <c r="L764" s="3"/>
      <c r="M764" s="3"/>
      <c r="N764" s="6"/>
      <c r="O764" s="6"/>
      <c r="P764" s="6"/>
      <c r="Q764" s="6"/>
      <c r="R764" s="6"/>
      <c r="S764" s="6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18"/>
      <c r="J765" s="3"/>
      <c r="K765" s="3"/>
      <c r="L765" s="3"/>
      <c r="M765" s="3"/>
      <c r="N765" s="6"/>
      <c r="O765" s="6"/>
      <c r="P765" s="6"/>
      <c r="Q765" s="6"/>
      <c r="R765" s="6"/>
      <c r="S765" s="6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18"/>
      <c r="J766" s="3"/>
      <c r="K766" s="3"/>
      <c r="L766" s="3"/>
      <c r="M766" s="3"/>
      <c r="N766" s="6"/>
      <c r="O766" s="6"/>
      <c r="P766" s="6"/>
      <c r="Q766" s="6"/>
      <c r="R766" s="6"/>
      <c r="S766" s="6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18"/>
      <c r="J767" s="3"/>
      <c r="K767" s="3"/>
      <c r="L767" s="3"/>
      <c r="M767" s="3"/>
      <c r="N767" s="6"/>
      <c r="O767" s="6"/>
      <c r="P767" s="6"/>
      <c r="Q767" s="6"/>
      <c r="R767" s="6"/>
      <c r="S767" s="6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18"/>
      <c r="J768" s="3"/>
      <c r="K768" s="3"/>
      <c r="L768" s="3"/>
      <c r="M768" s="3"/>
      <c r="N768" s="6"/>
      <c r="O768" s="6"/>
      <c r="P768" s="6"/>
      <c r="Q768" s="6"/>
      <c r="R768" s="6"/>
      <c r="S768" s="6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18"/>
      <c r="J769" s="3"/>
      <c r="K769" s="3"/>
      <c r="L769" s="3"/>
      <c r="M769" s="3"/>
      <c r="N769" s="6"/>
      <c r="O769" s="6"/>
      <c r="P769" s="6"/>
      <c r="Q769" s="6"/>
      <c r="R769" s="6"/>
      <c r="S769" s="6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18"/>
      <c r="J770" s="3"/>
      <c r="K770" s="3"/>
      <c r="L770" s="3"/>
      <c r="M770" s="3"/>
      <c r="N770" s="6"/>
      <c r="O770" s="6"/>
      <c r="P770" s="6"/>
      <c r="Q770" s="6"/>
      <c r="R770" s="6"/>
      <c r="S770" s="6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18"/>
      <c r="J771" s="3"/>
      <c r="K771" s="3"/>
      <c r="L771" s="3"/>
      <c r="M771" s="3"/>
      <c r="N771" s="6"/>
      <c r="O771" s="6"/>
      <c r="P771" s="6"/>
      <c r="Q771" s="6"/>
      <c r="R771" s="6"/>
      <c r="S771" s="6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18"/>
      <c r="J772" s="3"/>
      <c r="K772" s="3"/>
      <c r="L772" s="3"/>
      <c r="M772" s="3"/>
      <c r="N772" s="6"/>
      <c r="O772" s="6"/>
      <c r="P772" s="6"/>
      <c r="Q772" s="6"/>
      <c r="R772" s="6"/>
      <c r="S772" s="6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18"/>
      <c r="J773" s="3"/>
      <c r="K773" s="3"/>
      <c r="L773" s="3"/>
      <c r="M773" s="3"/>
      <c r="N773" s="6"/>
      <c r="O773" s="6"/>
      <c r="P773" s="6"/>
      <c r="Q773" s="6"/>
      <c r="R773" s="6"/>
      <c r="S773" s="6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18"/>
      <c r="J774" s="3"/>
      <c r="K774" s="3"/>
      <c r="L774" s="3"/>
      <c r="M774" s="3"/>
      <c r="N774" s="6"/>
      <c r="O774" s="6"/>
      <c r="P774" s="6"/>
      <c r="Q774" s="6"/>
      <c r="R774" s="6"/>
      <c r="S774" s="6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18"/>
      <c r="J775" s="3"/>
      <c r="K775" s="3"/>
      <c r="L775" s="3"/>
      <c r="M775" s="3"/>
      <c r="N775" s="6"/>
      <c r="O775" s="6"/>
      <c r="P775" s="6"/>
      <c r="Q775" s="6"/>
      <c r="R775" s="6"/>
      <c r="S775" s="6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18"/>
      <c r="J776" s="3"/>
      <c r="K776" s="3"/>
      <c r="L776" s="3"/>
      <c r="M776" s="3"/>
      <c r="N776" s="6"/>
      <c r="O776" s="6"/>
      <c r="P776" s="6"/>
      <c r="Q776" s="6"/>
      <c r="R776" s="6"/>
      <c r="S776" s="6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18"/>
      <c r="J777" s="3"/>
      <c r="K777" s="3"/>
      <c r="L777" s="3"/>
      <c r="M777" s="3"/>
      <c r="N777" s="6"/>
      <c r="O777" s="6"/>
      <c r="P777" s="6"/>
      <c r="Q777" s="6"/>
      <c r="R777" s="6"/>
      <c r="S777" s="6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18"/>
      <c r="J778" s="3"/>
      <c r="K778" s="3"/>
      <c r="L778" s="3"/>
      <c r="M778" s="3"/>
      <c r="N778" s="6"/>
      <c r="O778" s="6"/>
      <c r="P778" s="6"/>
      <c r="Q778" s="6"/>
      <c r="R778" s="6"/>
      <c r="S778" s="6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18"/>
      <c r="J779" s="3"/>
      <c r="K779" s="3"/>
      <c r="L779" s="3"/>
      <c r="M779" s="3"/>
      <c r="N779" s="6"/>
      <c r="O779" s="6"/>
      <c r="P779" s="6"/>
      <c r="Q779" s="6"/>
      <c r="R779" s="6"/>
      <c r="S779" s="6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18"/>
      <c r="J780" s="3"/>
      <c r="K780" s="3"/>
      <c r="L780" s="3"/>
      <c r="M780" s="3"/>
      <c r="N780" s="6"/>
      <c r="O780" s="6"/>
      <c r="P780" s="6"/>
      <c r="Q780" s="6"/>
      <c r="R780" s="6"/>
      <c r="S780" s="6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18"/>
      <c r="J781" s="3"/>
      <c r="K781" s="3"/>
      <c r="L781" s="3"/>
      <c r="M781" s="3"/>
      <c r="N781" s="6"/>
      <c r="O781" s="6"/>
      <c r="P781" s="6"/>
      <c r="Q781" s="6"/>
      <c r="R781" s="6"/>
      <c r="S781" s="6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18"/>
      <c r="J782" s="3"/>
      <c r="K782" s="3"/>
      <c r="L782" s="3"/>
      <c r="M782" s="3"/>
      <c r="N782" s="6"/>
      <c r="O782" s="6"/>
      <c r="P782" s="6"/>
      <c r="Q782" s="6"/>
      <c r="R782" s="6"/>
      <c r="S782" s="6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18"/>
      <c r="J783" s="3"/>
      <c r="K783" s="3"/>
      <c r="L783" s="3"/>
      <c r="M783" s="3"/>
      <c r="N783" s="6"/>
      <c r="O783" s="6"/>
      <c r="P783" s="6"/>
      <c r="Q783" s="6"/>
      <c r="R783" s="6"/>
      <c r="S783" s="6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18"/>
      <c r="J784" s="3"/>
      <c r="K784" s="3"/>
      <c r="L784" s="3"/>
      <c r="M784" s="3"/>
      <c r="N784" s="6"/>
      <c r="O784" s="6"/>
      <c r="P784" s="6"/>
      <c r="Q784" s="6"/>
      <c r="R784" s="6"/>
      <c r="S784" s="6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18"/>
      <c r="J785" s="3"/>
      <c r="K785" s="3"/>
      <c r="L785" s="3"/>
      <c r="M785" s="3"/>
      <c r="N785" s="6"/>
      <c r="O785" s="6"/>
      <c r="P785" s="6"/>
      <c r="Q785" s="6"/>
      <c r="R785" s="6"/>
      <c r="S785" s="6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18"/>
      <c r="J786" s="3"/>
      <c r="K786" s="3"/>
      <c r="L786" s="3"/>
      <c r="M786" s="3"/>
      <c r="N786" s="6"/>
      <c r="O786" s="6"/>
      <c r="P786" s="6"/>
      <c r="Q786" s="6"/>
      <c r="R786" s="6"/>
      <c r="S786" s="6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18"/>
      <c r="J787" s="3"/>
      <c r="K787" s="3"/>
      <c r="L787" s="3"/>
      <c r="M787" s="3"/>
      <c r="N787" s="6"/>
      <c r="O787" s="6"/>
      <c r="P787" s="6"/>
      <c r="Q787" s="6"/>
      <c r="R787" s="6"/>
      <c r="S787" s="6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18"/>
      <c r="J788" s="3"/>
      <c r="K788" s="3"/>
      <c r="L788" s="3"/>
      <c r="M788" s="3"/>
      <c r="N788" s="6"/>
      <c r="O788" s="6"/>
      <c r="P788" s="6"/>
      <c r="Q788" s="6"/>
      <c r="R788" s="6"/>
      <c r="S788" s="6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18"/>
      <c r="J789" s="3"/>
      <c r="K789" s="3"/>
      <c r="L789" s="3"/>
      <c r="M789" s="3"/>
      <c r="N789" s="6"/>
      <c r="O789" s="6"/>
      <c r="P789" s="6"/>
      <c r="Q789" s="6"/>
      <c r="R789" s="6"/>
      <c r="S789" s="6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18"/>
      <c r="J790" s="3"/>
      <c r="K790" s="3"/>
      <c r="L790" s="3"/>
      <c r="M790" s="3"/>
      <c r="N790" s="6"/>
      <c r="O790" s="6"/>
      <c r="P790" s="6"/>
      <c r="Q790" s="6"/>
      <c r="R790" s="6"/>
      <c r="S790" s="6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18"/>
      <c r="J791" s="3"/>
      <c r="K791" s="3"/>
      <c r="L791" s="3"/>
      <c r="M791" s="3"/>
      <c r="N791" s="6"/>
      <c r="O791" s="6"/>
      <c r="P791" s="6"/>
      <c r="Q791" s="6"/>
      <c r="R791" s="6"/>
      <c r="S791" s="6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18"/>
      <c r="J792" s="3"/>
      <c r="K792" s="3"/>
      <c r="L792" s="3"/>
      <c r="M792" s="3"/>
      <c r="N792" s="6"/>
      <c r="O792" s="6"/>
      <c r="P792" s="6"/>
      <c r="Q792" s="6"/>
      <c r="R792" s="6"/>
      <c r="S792" s="6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18"/>
      <c r="J793" s="3"/>
      <c r="K793" s="3"/>
      <c r="L793" s="3"/>
      <c r="M793" s="3"/>
      <c r="N793" s="6"/>
      <c r="O793" s="6"/>
      <c r="P793" s="6"/>
      <c r="Q793" s="6"/>
      <c r="R793" s="6"/>
      <c r="S793" s="6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18"/>
      <c r="J794" s="3"/>
      <c r="K794" s="3"/>
      <c r="L794" s="3"/>
      <c r="M794" s="3"/>
      <c r="N794" s="6"/>
      <c r="O794" s="6"/>
      <c r="P794" s="6"/>
      <c r="Q794" s="6"/>
      <c r="R794" s="6"/>
      <c r="S794" s="6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18"/>
      <c r="J795" s="3"/>
      <c r="K795" s="3"/>
      <c r="L795" s="3"/>
      <c r="M795" s="3"/>
      <c r="N795" s="6"/>
      <c r="O795" s="6"/>
      <c r="P795" s="6"/>
      <c r="Q795" s="6"/>
      <c r="R795" s="6"/>
      <c r="S795" s="6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18"/>
      <c r="J796" s="3"/>
      <c r="K796" s="3"/>
      <c r="L796" s="3"/>
      <c r="M796" s="3"/>
      <c r="N796" s="6"/>
      <c r="O796" s="6"/>
      <c r="P796" s="6"/>
      <c r="Q796" s="6"/>
      <c r="R796" s="6"/>
      <c r="S796" s="6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18"/>
      <c r="J797" s="3"/>
      <c r="K797" s="3"/>
      <c r="L797" s="3"/>
      <c r="M797" s="3"/>
      <c r="N797" s="6"/>
      <c r="O797" s="6"/>
      <c r="P797" s="6"/>
      <c r="Q797" s="6"/>
      <c r="R797" s="6"/>
      <c r="S797" s="6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18"/>
      <c r="J798" s="3"/>
      <c r="K798" s="3"/>
      <c r="L798" s="3"/>
      <c r="M798" s="3"/>
      <c r="N798" s="6"/>
      <c r="O798" s="6"/>
      <c r="P798" s="6"/>
      <c r="Q798" s="6"/>
      <c r="R798" s="6"/>
      <c r="S798" s="6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18"/>
      <c r="J799" s="3"/>
      <c r="K799" s="3"/>
      <c r="L799" s="3"/>
      <c r="M799" s="3"/>
      <c r="N799" s="6"/>
      <c r="O799" s="6"/>
      <c r="P799" s="6"/>
      <c r="Q799" s="6"/>
      <c r="R799" s="6"/>
      <c r="S799" s="6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18"/>
      <c r="J800" s="3"/>
      <c r="K800" s="3"/>
      <c r="L800" s="3"/>
      <c r="M800" s="3"/>
      <c r="N800" s="6"/>
      <c r="O800" s="6"/>
      <c r="P800" s="6"/>
      <c r="Q800" s="6"/>
      <c r="R800" s="6"/>
      <c r="S800" s="6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18"/>
      <c r="J801" s="3"/>
      <c r="K801" s="3"/>
      <c r="L801" s="3"/>
      <c r="M801" s="3"/>
      <c r="N801" s="6"/>
      <c r="O801" s="6"/>
      <c r="P801" s="6"/>
      <c r="Q801" s="6"/>
      <c r="R801" s="6"/>
      <c r="S801" s="6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18"/>
      <c r="J802" s="3"/>
      <c r="K802" s="3"/>
      <c r="L802" s="3"/>
      <c r="M802" s="3"/>
      <c r="N802" s="6"/>
      <c r="O802" s="6"/>
      <c r="P802" s="6"/>
      <c r="Q802" s="6"/>
      <c r="R802" s="6"/>
      <c r="S802" s="6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18"/>
      <c r="J803" s="3"/>
      <c r="K803" s="3"/>
      <c r="L803" s="3"/>
      <c r="M803" s="3"/>
      <c r="N803" s="6"/>
      <c r="O803" s="6"/>
      <c r="P803" s="6"/>
      <c r="Q803" s="6"/>
      <c r="R803" s="6"/>
      <c r="S803" s="6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18"/>
      <c r="J804" s="3"/>
      <c r="K804" s="3"/>
      <c r="L804" s="3"/>
      <c r="M804" s="3"/>
      <c r="N804" s="6"/>
      <c r="O804" s="6"/>
      <c r="P804" s="6"/>
      <c r="Q804" s="6"/>
      <c r="R804" s="6"/>
      <c r="S804" s="6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18"/>
      <c r="J805" s="3"/>
      <c r="K805" s="3"/>
      <c r="L805" s="3"/>
      <c r="M805" s="3"/>
      <c r="N805" s="6"/>
      <c r="O805" s="6"/>
      <c r="P805" s="6"/>
      <c r="Q805" s="6"/>
      <c r="R805" s="6"/>
      <c r="S805" s="6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18"/>
      <c r="J806" s="3"/>
      <c r="K806" s="3"/>
      <c r="L806" s="3"/>
      <c r="M806" s="3"/>
      <c r="N806" s="6"/>
      <c r="O806" s="6"/>
      <c r="P806" s="6"/>
      <c r="Q806" s="6"/>
      <c r="R806" s="6"/>
      <c r="S806" s="6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18"/>
      <c r="J807" s="3"/>
      <c r="K807" s="3"/>
      <c r="L807" s="3"/>
      <c r="M807" s="3"/>
      <c r="N807" s="6"/>
      <c r="O807" s="6"/>
      <c r="P807" s="6"/>
      <c r="Q807" s="6"/>
      <c r="R807" s="6"/>
      <c r="S807" s="6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18"/>
      <c r="J808" s="3"/>
      <c r="K808" s="3"/>
      <c r="L808" s="3"/>
      <c r="M808" s="3"/>
      <c r="N808" s="6"/>
      <c r="O808" s="6"/>
      <c r="P808" s="6"/>
      <c r="Q808" s="6"/>
      <c r="R808" s="6"/>
      <c r="S808" s="6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18"/>
      <c r="J809" s="3"/>
      <c r="K809" s="3"/>
      <c r="L809" s="3"/>
      <c r="M809" s="3"/>
      <c r="N809" s="6"/>
      <c r="O809" s="6"/>
      <c r="P809" s="6"/>
      <c r="Q809" s="6"/>
      <c r="R809" s="6"/>
      <c r="S809" s="6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18"/>
      <c r="J810" s="3"/>
      <c r="K810" s="3"/>
      <c r="L810" s="3"/>
      <c r="M810" s="3"/>
      <c r="N810" s="6"/>
      <c r="O810" s="6"/>
      <c r="P810" s="6"/>
      <c r="Q810" s="6"/>
      <c r="R810" s="6"/>
      <c r="S810" s="6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18"/>
      <c r="J811" s="3"/>
      <c r="K811" s="3"/>
      <c r="L811" s="3"/>
      <c r="M811" s="3"/>
      <c r="N811" s="6"/>
      <c r="O811" s="6"/>
      <c r="P811" s="6"/>
      <c r="Q811" s="6"/>
      <c r="R811" s="6"/>
      <c r="S811" s="6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18"/>
      <c r="J812" s="3"/>
      <c r="K812" s="3"/>
      <c r="L812" s="3"/>
      <c r="M812" s="3"/>
      <c r="N812" s="6"/>
      <c r="O812" s="6"/>
      <c r="P812" s="6"/>
      <c r="Q812" s="6"/>
      <c r="R812" s="6"/>
      <c r="S812" s="6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18"/>
      <c r="J813" s="3"/>
      <c r="K813" s="3"/>
      <c r="L813" s="3"/>
      <c r="M813" s="3"/>
      <c r="N813" s="6"/>
      <c r="O813" s="6"/>
      <c r="P813" s="6"/>
      <c r="Q813" s="6"/>
      <c r="R813" s="6"/>
      <c r="S813" s="6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18"/>
      <c r="J814" s="3"/>
      <c r="K814" s="3"/>
      <c r="L814" s="3"/>
      <c r="M814" s="3"/>
      <c r="N814" s="6"/>
      <c r="O814" s="6"/>
      <c r="P814" s="6"/>
      <c r="Q814" s="6"/>
      <c r="R814" s="6"/>
      <c r="S814" s="6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18"/>
      <c r="J815" s="3"/>
      <c r="K815" s="3"/>
      <c r="L815" s="3"/>
      <c r="M815" s="3"/>
      <c r="N815" s="6"/>
      <c r="O815" s="6"/>
      <c r="P815" s="6"/>
      <c r="Q815" s="6"/>
      <c r="R815" s="6"/>
      <c r="S815" s="6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18"/>
      <c r="J816" s="3"/>
      <c r="K816" s="3"/>
      <c r="L816" s="3"/>
      <c r="M816" s="3"/>
      <c r="N816" s="6"/>
      <c r="O816" s="6"/>
      <c r="P816" s="6"/>
      <c r="Q816" s="6"/>
      <c r="R816" s="6"/>
      <c r="S816" s="6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18"/>
      <c r="J817" s="3"/>
      <c r="K817" s="3"/>
      <c r="L817" s="3"/>
      <c r="M817" s="3"/>
      <c r="N817" s="6"/>
      <c r="O817" s="6"/>
      <c r="P817" s="6"/>
      <c r="Q817" s="6"/>
      <c r="R817" s="6"/>
      <c r="S817" s="6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18"/>
      <c r="J818" s="3"/>
      <c r="K818" s="3"/>
      <c r="L818" s="3"/>
      <c r="M818" s="3"/>
      <c r="N818" s="6"/>
      <c r="O818" s="6"/>
      <c r="P818" s="6"/>
      <c r="Q818" s="6"/>
      <c r="R818" s="6"/>
      <c r="S818" s="6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18"/>
      <c r="J819" s="3"/>
      <c r="K819" s="3"/>
      <c r="L819" s="3"/>
      <c r="M819" s="3"/>
      <c r="N819" s="6"/>
      <c r="O819" s="6"/>
      <c r="P819" s="6"/>
      <c r="Q819" s="6"/>
      <c r="R819" s="6"/>
      <c r="S819" s="6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18"/>
      <c r="J820" s="3"/>
      <c r="K820" s="3"/>
      <c r="L820" s="3"/>
      <c r="M820" s="3"/>
      <c r="N820" s="6"/>
      <c r="O820" s="6"/>
      <c r="P820" s="6"/>
      <c r="Q820" s="6"/>
      <c r="R820" s="6"/>
      <c r="S820" s="6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18"/>
      <c r="J821" s="3"/>
      <c r="K821" s="3"/>
      <c r="L821" s="3"/>
      <c r="M821" s="3"/>
      <c r="N821" s="6"/>
      <c r="O821" s="6"/>
      <c r="P821" s="6"/>
      <c r="Q821" s="6"/>
      <c r="R821" s="6"/>
      <c r="S821" s="6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18"/>
      <c r="J822" s="3"/>
      <c r="K822" s="3"/>
      <c r="L822" s="3"/>
      <c r="M822" s="3"/>
      <c r="N822" s="6"/>
      <c r="O822" s="6"/>
      <c r="P822" s="6"/>
      <c r="Q822" s="6"/>
      <c r="R822" s="6"/>
      <c r="S822" s="6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18"/>
      <c r="J823" s="3"/>
      <c r="K823" s="3"/>
      <c r="L823" s="3"/>
      <c r="M823" s="3"/>
      <c r="N823" s="6"/>
      <c r="O823" s="6"/>
      <c r="P823" s="6"/>
      <c r="Q823" s="6"/>
      <c r="R823" s="6"/>
      <c r="S823" s="6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18"/>
      <c r="J824" s="3"/>
      <c r="K824" s="3"/>
      <c r="L824" s="3"/>
      <c r="M824" s="3"/>
      <c r="N824" s="6"/>
      <c r="O824" s="6"/>
      <c r="P824" s="6"/>
      <c r="Q824" s="6"/>
      <c r="R824" s="6"/>
      <c r="S824" s="6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18"/>
      <c r="J825" s="3"/>
      <c r="K825" s="3"/>
      <c r="L825" s="3"/>
      <c r="M825" s="3"/>
      <c r="N825" s="6"/>
      <c r="O825" s="6"/>
      <c r="P825" s="6"/>
      <c r="Q825" s="6"/>
      <c r="R825" s="6"/>
      <c r="S825" s="6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18"/>
      <c r="J826" s="3"/>
      <c r="K826" s="3"/>
      <c r="L826" s="3"/>
      <c r="M826" s="3"/>
      <c r="N826" s="6"/>
      <c r="O826" s="6"/>
      <c r="P826" s="6"/>
      <c r="Q826" s="6"/>
      <c r="R826" s="6"/>
      <c r="S826" s="6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18"/>
      <c r="J827" s="3"/>
      <c r="K827" s="3"/>
      <c r="L827" s="3"/>
      <c r="M827" s="3"/>
      <c r="N827" s="6"/>
      <c r="O827" s="6"/>
      <c r="P827" s="6"/>
      <c r="Q827" s="6"/>
      <c r="R827" s="6"/>
      <c r="S827" s="6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18"/>
      <c r="J828" s="3"/>
      <c r="K828" s="3"/>
      <c r="L828" s="3"/>
      <c r="M828" s="3"/>
      <c r="N828" s="6"/>
      <c r="O828" s="6"/>
      <c r="P828" s="6"/>
      <c r="Q828" s="6"/>
      <c r="R828" s="6"/>
      <c r="S828" s="6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18"/>
      <c r="J829" s="3"/>
      <c r="K829" s="3"/>
      <c r="L829" s="3"/>
      <c r="M829" s="3"/>
      <c r="N829" s="6"/>
      <c r="O829" s="6"/>
      <c r="P829" s="6"/>
      <c r="Q829" s="6"/>
      <c r="R829" s="6"/>
      <c r="S829" s="6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18"/>
      <c r="J830" s="3"/>
      <c r="K830" s="3"/>
      <c r="L830" s="3"/>
      <c r="M830" s="3"/>
      <c r="N830" s="6"/>
      <c r="O830" s="6"/>
      <c r="P830" s="6"/>
      <c r="Q830" s="6"/>
      <c r="R830" s="6"/>
      <c r="S830" s="6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18"/>
      <c r="J831" s="3"/>
      <c r="K831" s="3"/>
      <c r="L831" s="3"/>
      <c r="M831" s="3"/>
      <c r="N831" s="6"/>
      <c r="O831" s="6"/>
      <c r="P831" s="6"/>
      <c r="Q831" s="6"/>
      <c r="R831" s="6"/>
      <c r="S831" s="6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18"/>
      <c r="J832" s="3"/>
      <c r="K832" s="3"/>
      <c r="L832" s="3"/>
      <c r="M832" s="3"/>
      <c r="N832" s="6"/>
      <c r="O832" s="6"/>
      <c r="P832" s="6"/>
      <c r="Q832" s="6"/>
      <c r="R832" s="6"/>
      <c r="S832" s="6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18"/>
      <c r="J833" s="3"/>
      <c r="K833" s="3"/>
      <c r="L833" s="3"/>
      <c r="M833" s="3"/>
      <c r="N833" s="6"/>
      <c r="O833" s="6"/>
      <c r="P833" s="6"/>
      <c r="Q833" s="6"/>
      <c r="R833" s="6"/>
      <c r="S833" s="6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18"/>
      <c r="J834" s="3"/>
      <c r="K834" s="3"/>
      <c r="L834" s="3"/>
      <c r="M834" s="3"/>
      <c r="N834" s="6"/>
      <c r="O834" s="6"/>
      <c r="P834" s="6"/>
      <c r="Q834" s="6"/>
      <c r="R834" s="6"/>
      <c r="S834" s="6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18"/>
      <c r="J835" s="3"/>
      <c r="K835" s="3"/>
      <c r="L835" s="3"/>
      <c r="M835" s="3"/>
      <c r="N835" s="6"/>
      <c r="O835" s="6"/>
      <c r="P835" s="6"/>
      <c r="Q835" s="6"/>
      <c r="R835" s="6"/>
      <c r="S835" s="6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18"/>
      <c r="J836" s="3"/>
      <c r="K836" s="3"/>
      <c r="L836" s="3"/>
      <c r="M836" s="3"/>
      <c r="N836" s="6"/>
      <c r="O836" s="6"/>
      <c r="P836" s="6"/>
      <c r="Q836" s="6"/>
      <c r="R836" s="6"/>
      <c r="S836" s="6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18"/>
      <c r="J837" s="3"/>
      <c r="K837" s="3"/>
      <c r="L837" s="3"/>
      <c r="M837" s="3"/>
      <c r="N837" s="6"/>
      <c r="O837" s="6"/>
      <c r="P837" s="6"/>
      <c r="Q837" s="6"/>
      <c r="R837" s="6"/>
      <c r="S837" s="6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18"/>
      <c r="J838" s="3"/>
      <c r="K838" s="3"/>
      <c r="L838" s="3"/>
      <c r="M838" s="3"/>
      <c r="N838" s="6"/>
      <c r="O838" s="6"/>
      <c r="P838" s="6"/>
      <c r="Q838" s="6"/>
      <c r="R838" s="6"/>
      <c r="S838" s="6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18"/>
      <c r="J839" s="3"/>
      <c r="K839" s="3"/>
      <c r="L839" s="3"/>
      <c r="M839" s="3"/>
      <c r="N839" s="6"/>
      <c r="O839" s="6"/>
      <c r="P839" s="6"/>
      <c r="Q839" s="6"/>
      <c r="R839" s="6"/>
      <c r="S839" s="6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18"/>
      <c r="J840" s="3"/>
      <c r="K840" s="3"/>
      <c r="L840" s="3"/>
      <c r="M840" s="3"/>
      <c r="N840" s="6"/>
      <c r="O840" s="6"/>
      <c r="P840" s="6"/>
      <c r="Q840" s="6"/>
      <c r="R840" s="6"/>
      <c r="S840" s="6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18"/>
      <c r="J841" s="3"/>
      <c r="K841" s="3"/>
      <c r="L841" s="3"/>
      <c r="M841" s="3"/>
      <c r="N841" s="6"/>
      <c r="O841" s="6"/>
      <c r="P841" s="6"/>
      <c r="Q841" s="6"/>
      <c r="R841" s="6"/>
      <c r="S841" s="6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18"/>
      <c r="J842" s="3"/>
      <c r="K842" s="3"/>
      <c r="L842" s="3"/>
      <c r="M842" s="3"/>
      <c r="N842" s="6"/>
      <c r="O842" s="6"/>
      <c r="P842" s="6"/>
      <c r="Q842" s="6"/>
      <c r="R842" s="6"/>
      <c r="S842" s="6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18"/>
      <c r="J843" s="3"/>
      <c r="K843" s="3"/>
      <c r="L843" s="3"/>
      <c r="M843" s="3"/>
      <c r="N843" s="6"/>
      <c r="O843" s="6"/>
      <c r="P843" s="6"/>
      <c r="Q843" s="6"/>
      <c r="R843" s="6"/>
      <c r="S843" s="6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18"/>
      <c r="J844" s="3"/>
      <c r="K844" s="3"/>
      <c r="L844" s="3"/>
      <c r="M844" s="3"/>
      <c r="N844" s="6"/>
      <c r="O844" s="6"/>
      <c r="P844" s="6"/>
      <c r="Q844" s="6"/>
      <c r="R844" s="6"/>
      <c r="S844" s="6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18"/>
      <c r="J845" s="3"/>
      <c r="K845" s="3"/>
      <c r="L845" s="3"/>
      <c r="M845" s="3"/>
      <c r="N845" s="6"/>
      <c r="O845" s="6"/>
      <c r="P845" s="6"/>
      <c r="Q845" s="6"/>
      <c r="R845" s="6"/>
      <c r="S845" s="6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18"/>
      <c r="J846" s="3"/>
      <c r="K846" s="3"/>
      <c r="L846" s="3"/>
      <c r="M846" s="3"/>
      <c r="N846" s="6"/>
      <c r="O846" s="6"/>
      <c r="P846" s="6"/>
      <c r="Q846" s="6"/>
      <c r="R846" s="6"/>
      <c r="S846" s="6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18"/>
      <c r="J847" s="3"/>
      <c r="K847" s="3"/>
      <c r="L847" s="3"/>
      <c r="M847" s="3"/>
      <c r="N847" s="6"/>
      <c r="O847" s="6"/>
      <c r="P847" s="6"/>
      <c r="Q847" s="6"/>
      <c r="R847" s="6"/>
      <c r="S847" s="6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18"/>
      <c r="J848" s="3"/>
      <c r="K848" s="3"/>
      <c r="L848" s="3"/>
      <c r="M848" s="3"/>
      <c r="N848" s="6"/>
      <c r="O848" s="6"/>
      <c r="P848" s="6"/>
      <c r="Q848" s="6"/>
      <c r="R848" s="6"/>
      <c r="S848" s="6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18"/>
      <c r="J849" s="3"/>
      <c r="K849" s="3"/>
      <c r="L849" s="3"/>
      <c r="M849" s="3"/>
      <c r="N849" s="6"/>
      <c r="O849" s="6"/>
      <c r="P849" s="6"/>
      <c r="Q849" s="6"/>
      <c r="R849" s="6"/>
      <c r="S849" s="6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18"/>
      <c r="J850" s="3"/>
      <c r="K850" s="3"/>
      <c r="L850" s="3"/>
      <c r="M850" s="3"/>
      <c r="N850" s="6"/>
      <c r="O850" s="6"/>
      <c r="P850" s="6"/>
      <c r="Q850" s="6"/>
      <c r="R850" s="6"/>
      <c r="S850" s="6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18"/>
      <c r="J851" s="3"/>
      <c r="K851" s="3"/>
      <c r="L851" s="3"/>
      <c r="M851" s="3"/>
      <c r="N851" s="6"/>
      <c r="O851" s="6"/>
      <c r="P851" s="6"/>
      <c r="Q851" s="6"/>
      <c r="R851" s="6"/>
      <c r="S851" s="6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18"/>
      <c r="J852" s="3"/>
      <c r="K852" s="3"/>
      <c r="L852" s="3"/>
      <c r="M852" s="3"/>
      <c r="N852" s="6"/>
      <c r="O852" s="6"/>
      <c r="P852" s="6"/>
      <c r="Q852" s="6"/>
      <c r="R852" s="6"/>
      <c r="S852" s="6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18"/>
      <c r="J853" s="3"/>
      <c r="K853" s="3"/>
      <c r="L853" s="3"/>
      <c r="M853" s="3"/>
      <c r="N853" s="6"/>
      <c r="O853" s="6"/>
      <c r="P853" s="6"/>
      <c r="Q853" s="6"/>
      <c r="R853" s="6"/>
      <c r="S853" s="6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18"/>
      <c r="J854" s="3"/>
      <c r="K854" s="3"/>
      <c r="L854" s="3"/>
      <c r="M854" s="3"/>
      <c r="N854" s="6"/>
      <c r="O854" s="6"/>
      <c r="P854" s="6"/>
      <c r="Q854" s="6"/>
      <c r="R854" s="6"/>
      <c r="S854" s="6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18"/>
      <c r="J855" s="3"/>
      <c r="K855" s="3"/>
      <c r="L855" s="3"/>
      <c r="M855" s="3"/>
      <c r="N855" s="6"/>
      <c r="O855" s="6"/>
      <c r="P855" s="6"/>
      <c r="Q855" s="6"/>
      <c r="R855" s="6"/>
      <c r="S855" s="6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18"/>
      <c r="J856" s="3"/>
      <c r="K856" s="3"/>
      <c r="L856" s="3"/>
      <c r="M856" s="3"/>
      <c r="N856" s="6"/>
      <c r="O856" s="6"/>
      <c r="P856" s="6"/>
      <c r="Q856" s="6"/>
      <c r="R856" s="6"/>
      <c r="S856" s="6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18"/>
      <c r="J857" s="3"/>
      <c r="K857" s="3"/>
      <c r="L857" s="3"/>
      <c r="M857" s="3"/>
      <c r="N857" s="6"/>
      <c r="O857" s="6"/>
      <c r="P857" s="6"/>
      <c r="Q857" s="6"/>
      <c r="R857" s="6"/>
      <c r="S857" s="6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18"/>
      <c r="J858" s="3"/>
      <c r="K858" s="3"/>
      <c r="L858" s="3"/>
      <c r="M858" s="3"/>
      <c r="N858" s="6"/>
      <c r="O858" s="6"/>
      <c r="P858" s="6"/>
      <c r="Q858" s="6"/>
      <c r="R858" s="6"/>
      <c r="S858" s="6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18"/>
      <c r="J859" s="3"/>
      <c r="K859" s="3"/>
      <c r="L859" s="3"/>
      <c r="M859" s="3"/>
      <c r="N859" s="6"/>
      <c r="O859" s="6"/>
      <c r="P859" s="6"/>
      <c r="Q859" s="6"/>
      <c r="R859" s="6"/>
      <c r="S859" s="6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18"/>
      <c r="J860" s="3"/>
      <c r="K860" s="3"/>
      <c r="L860" s="3"/>
      <c r="M860" s="3"/>
      <c r="N860" s="6"/>
      <c r="O860" s="6"/>
      <c r="P860" s="6"/>
      <c r="Q860" s="6"/>
      <c r="R860" s="6"/>
      <c r="S860" s="6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18"/>
      <c r="J861" s="3"/>
      <c r="K861" s="3"/>
      <c r="L861" s="3"/>
      <c r="M861" s="3"/>
      <c r="N861" s="6"/>
      <c r="O861" s="6"/>
      <c r="P861" s="6"/>
      <c r="Q861" s="6"/>
      <c r="R861" s="6"/>
      <c r="S861" s="6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18"/>
      <c r="J862" s="3"/>
      <c r="K862" s="3"/>
      <c r="L862" s="3"/>
      <c r="M862" s="3"/>
      <c r="N862" s="6"/>
      <c r="O862" s="6"/>
      <c r="P862" s="6"/>
      <c r="Q862" s="6"/>
      <c r="R862" s="6"/>
      <c r="S862" s="6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18"/>
      <c r="J863" s="3"/>
      <c r="K863" s="3"/>
      <c r="L863" s="3"/>
      <c r="M863" s="3"/>
      <c r="N863" s="6"/>
      <c r="O863" s="6"/>
      <c r="P863" s="6"/>
      <c r="Q863" s="6"/>
      <c r="R863" s="6"/>
      <c r="S863" s="6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18"/>
      <c r="J864" s="3"/>
      <c r="K864" s="3"/>
      <c r="L864" s="3"/>
      <c r="M864" s="3"/>
      <c r="N864" s="6"/>
      <c r="O864" s="6"/>
      <c r="P864" s="6"/>
      <c r="Q864" s="6"/>
      <c r="R864" s="6"/>
      <c r="S864" s="6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18"/>
      <c r="J865" s="3"/>
      <c r="K865" s="3"/>
      <c r="L865" s="3"/>
      <c r="M865" s="3"/>
      <c r="N865" s="6"/>
      <c r="O865" s="6"/>
      <c r="P865" s="6"/>
      <c r="Q865" s="6"/>
      <c r="R865" s="6"/>
      <c r="S865" s="6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18"/>
      <c r="J866" s="3"/>
      <c r="K866" s="3"/>
      <c r="L866" s="3"/>
      <c r="M866" s="3"/>
      <c r="N866" s="6"/>
      <c r="O866" s="6"/>
      <c r="P866" s="6"/>
      <c r="Q866" s="6"/>
      <c r="R866" s="6"/>
      <c r="S866" s="6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18"/>
      <c r="J867" s="3"/>
      <c r="K867" s="3"/>
      <c r="L867" s="3"/>
      <c r="M867" s="3"/>
      <c r="N867" s="6"/>
      <c r="O867" s="6"/>
      <c r="P867" s="6"/>
      <c r="Q867" s="6"/>
      <c r="R867" s="6"/>
      <c r="S867" s="6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18"/>
      <c r="J868" s="3"/>
      <c r="K868" s="3"/>
      <c r="L868" s="3"/>
      <c r="M868" s="3"/>
      <c r="N868" s="6"/>
      <c r="O868" s="6"/>
      <c r="P868" s="6"/>
      <c r="Q868" s="6"/>
      <c r="R868" s="6"/>
      <c r="S868" s="6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18"/>
      <c r="J869" s="3"/>
      <c r="K869" s="3"/>
      <c r="L869" s="3"/>
      <c r="M869" s="3"/>
      <c r="N869" s="6"/>
      <c r="O869" s="6"/>
      <c r="P869" s="6"/>
      <c r="Q869" s="6"/>
      <c r="R869" s="6"/>
      <c r="S869" s="6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18"/>
      <c r="J870" s="3"/>
      <c r="K870" s="3"/>
      <c r="L870" s="3"/>
      <c r="M870" s="3"/>
      <c r="N870" s="6"/>
      <c r="O870" s="6"/>
      <c r="P870" s="6"/>
      <c r="Q870" s="6"/>
      <c r="R870" s="6"/>
      <c r="S870" s="6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18"/>
      <c r="J871" s="3"/>
      <c r="K871" s="3"/>
      <c r="L871" s="3"/>
      <c r="M871" s="3"/>
      <c r="N871" s="6"/>
      <c r="O871" s="6"/>
      <c r="P871" s="6"/>
      <c r="Q871" s="6"/>
      <c r="R871" s="6"/>
      <c r="S871" s="6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18"/>
      <c r="J872" s="3"/>
      <c r="K872" s="3"/>
      <c r="L872" s="3"/>
      <c r="M872" s="3"/>
      <c r="N872" s="6"/>
      <c r="O872" s="6"/>
      <c r="P872" s="6"/>
      <c r="Q872" s="6"/>
      <c r="R872" s="6"/>
      <c r="S872" s="6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18"/>
      <c r="J873" s="3"/>
      <c r="K873" s="3"/>
      <c r="L873" s="3"/>
      <c r="M873" s="3"/>
      <c r="N873" s="6"/>
      <c r="O873" s="6"/>
      <c r="P873" s="6"/>
      <c r="Q873" s="6"/>
      <c r="R873" s="6"/>
      <c r="S873" s="6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18"/>
      <c r="J874" s="3"/>
      <c r="K874" s="3"/>
      <c r="L874" s="3"/>
      <c r="M874" s="3"/>
      <c r="N874" s="6"/>
      <c r="O874" s="6"/>
      <c r="P874" s="6"/>
      <c r="Q874" s="6"/>
      <c r="R874" s="6"/>
      <c r="S874" s="6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18"/>
      <c r="J875" s="3"/>
      <c r="K875" s="3"/>
      <c r="L875" s="3"/>
      <c r="M875" s="3"/>
      <c r="N875" s="6"/>
      <c r="O875" s="6"/>
      <c r="P875" s="6"/>
      <c r="Q875" s="6"/>
      <c r="R875" s="6"/>
      <c r="S875" s="6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18"/>
      <c r="J876" s="3"/>
      <c r="K876" s="3"/>
      <c r="L876" s="3"/>
      <c r="M876" s="3"/>
      <c r="N876" s="6"/>
      <c r="O876" s="6"/>
      <c r="P876" s="6"/>
      <c r="Q876" s="6"/>
      <c r="R876" s="6"/>
      <c r="S876" s="6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18"/>
      <c r="J877" s="3"/>
      <c r="K877" s="3"/>
      <c r="L877" s="3"/>
      <c r="M877" s="3"/>
      <c r="N877" s="6"/>
      <c r="O877" s="6"/>
      <c r="P877" s="6"/>
      <c r="Q877" s="6"/>
      <c r="R877" s="6"/>
      <c r="S877" s="6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18"/>
      <c r="J878" s="3"/>
      <c r="K878" s="3"/>
      <c r="L878" s="3"/>
      <c r="M878" s="3"/>
      <c r="N878" s="6"/>
      <c r="O878" s="6"/>
      <c r="P878" s="6"/>
      <c r="Q878" s="6"/>
      <c r="R878" s="6"/>
      <c r="S878" s="6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18"/>
      <c r="J879" s="3"/>
      <c r="K879" s="3"/>
      <c r="L879" s="3"/>
      <c r="M879" s="3"/>
      <c r="N879" s="6"/>
      <c r="O879" s="6"/>
      <c r="P879" s="6"/>
      <c r="Q879" s="6"/>
      <c r="R879" s="6"/>
      <c r="S879" s="6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18"/>
      <c r="J880" s="3"/>
      <c r="K880" s="3"/>
      <c r="L880" s="3"/>
      <c r="M880" s="3"/>
      <c r="N880" s="6"/>
      <c r="O880" s="6"/>
      <c r="P880" s="6"/>
      <c r="Q880" s="6"/>
      <c r="R880" s="6"/>
      <c r="S880" s="6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18"/>
      <c r="J881" s="3"/>
      <c r="K881" s="3"/>
      <c r="L881" s="3"/>
      <c r="M881" s="3"/>
      <c r="N881" s="6"/>
      <c r="O881" s="6"/>
      <c r="P881" s="6"/>
      <c r="Q881" s="6"/>
      <c r="R881" s="6"/>
      <c r="S881" s="6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18"/>
      <c r="J882" s="3"/>
      <c r="K882" s="3"/>
      <c r="L882" s="3"/>
      <c r="M882" s="3"/>
      <c r="N882" s="6"/>
      <c r="O882" s="6"/>
      <c r="P882" s="6"/>
      <c r="Q882" s="6"/>
      <c r="R882" s="6"/>
      <c r="S882" s="6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18"/>
      <c r="J883" s="3"/>
      <c r="K883" s="3"/>
      <c r="L883" s="3"/>
      <c r="M883" s="3"/>
      <c r="N883" s="6"/>
      <c r="O883" s="6"/>
      <c r="P883" s="6"/>
      <c r="Q883" s="6"/>
      <c r="R883" s="6"/>
      <c r="S883" s="6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18"/>
      <c r="J884" s="3"/>
      <c r="K884" s="3"/>
      <c r="L884" s="3"/>
      <c r="M884" s="3"/>
      <c r="N884" s="6"/>
      <c r="O884" s="6"/>
      <c r="P884" s="6"/>
      <c r="Q884" s="6"/>
      <c r="R884" s="6"/>
      <c r="S884" s="6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18"/>
      <c r="J885" s="3"/>
      <c r="K885" s="3"/>
      <c r="L885" s="3"/>
      <c r="M885" s="3"/>
      <c r="N885" s="6"/>
      <c r="O885" s="6"/>
      <c r="P885" s="6"/>
      <c r="Q885" s="6"/>
      <c r="R885" s="6"/>
      <c r="S885" s="6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18"/>
      <c r="J886" s="3"/>
      <c r="K886" s="3"/>
      <c r="L886" s="3"/>
      <c r="M886" s="3"/>
      <c r="N886" s="6"/>
      <c r="O886" s="6"/>
      <c r="P886" s="6"/>
      <c r="Q886" s="6"/>
      <c r="R886" s="6"/>
      <c r="S886" s="6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18"/>
      <c r="J887" s="3"/>
      <c r="K887" s="3"/>
      <c r="L887" s="3"/>
      <c r="M887" s="3"/>
      <c r="N887" s="6"/>
      <c r="O887" s="6"/>
      <c r="P887" s="6"/>
      <c r="Q887" s="6"/>
      <c r="R887" s="6"/>
      <c r="S887" s="6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18"/>
      <c r="J888" s="3"/>
      <c r="K888" s="3"/>
      <c r="L888" s="3"/>
      <c r="M888" s="3"/>
      <c r="N888" s="6"/>
      <c r="O888" s="6"/>
      <c r="P888" s="6"/>
      <c r="Q888" s="6"/>
      <c r="R888" s="6"/>
      <c r="S888" s="6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18"/>
      <c r="J889" s="3"/>
      <c r="K889" s="3"/>
      <c r="L889" s="3"/>
      <c r="M889" s="3"/>
      <c r="N889" s="6"/>
      <c r="O889" s="6"/>
      <c r="P889" s="6"/>
      <c r="Q889" s="6"/>
      <c r="R889" s="6"/>
      <c r="S889" s="6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18"/>
      <c r="J890" s="3"/>
      <c r="K890" s="3"/>
      <c r="L890" s="3"/>
      <c r="M890" s="3"/>
      <c r="N890" s="6"/>
      <c r="O890" s="6"/>
      <c r="P890" s="6"/>
      <c r="Q890" s="6"/>
      <c r="R890" s="6"/>
      <c r="S890" s="6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18"/>
      <c r="J891" s="3"/>
      <c r="K891" s="3"/>
      <c r="L891" s="3"/>
      <c r="M891" s="3"/>
      <c r="N891" s="6"/>
      <c r="O891" s="6"/>
      <c r="P891" s="6"/>
      <c r="Q891" s="6"/>
      <c r="R891" s="6"/>
      <c r="S891" s="6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18"/>
      <c r="J892" s="3"/>
      <c r="K892" s="3"/>
      <c r="L892" s="3"/>
      <c r="M892" s="3"/>
      <c r="N892" s="6"/>
      <c r="O892" s="6"/>
      <c r="P892" s="6"/>
      <c r="Q892" s="6"/>
      <c r="R892" s="6"/>
      <c r="S892" s="6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18"/>
      <c r="J893" s="3"/>
      <c r="K893" s="3"/>
      <c r="L893" s="3"/>
      <c r="M893" s="3"/>
      <c r="N893" s="6"/>
      <c r="O893" s="6"/>
      <c r="P893" s="6"/>
      <c r="Q893" s="6"/>
      <c r="R893" s="6"/>
      <c r="S893" s="6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18"/>
      <c r="J894" s="3"/>
      <c r="K894" s="3"/>
      <c r="L894" s="3"/>
      <c r="M894" s="3"/>
      <c r="N894" s="6"/>
      <c r="O894" s="6"/>
      <c r="P894" s="6"/>
      <c r="Q894" s="6"/>
      <c r="R894" s="6"/>
      <c r="S894" s="6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18"/>
      <c r="J895" s="3"/>
      <c r="K895" s="3"/>
      <c r="L895" s="3"/>
      <c r="M895" s="3"/>
      <c r="N895" s="6"/>
      <c r="O895" s="6"/>
      <c r="P895" s="6"/>
      <c r="Q895" s="6"/>
      <c r="R895" s="6"/>
      <c r="S895" s="6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18"/>
      <c r="J896" s="3"/>
      <c r="K896" s="3"/>
      <c r="L896" s="3"/>
      <c r="M896" s="3"/>
      <c r="N896" s="6"/>
      <c r="O896" s="6"/>
      <c r="P896" s="6"/>
      <c r="Q896" s="6"/>
      <c r="R896" s="6"/>
      <c r="S896" s="6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18"/>
      <c r="J897" s="3"/>
      <c r="K897" s="3"/>
      <c r="L897" s="3"/>
      <c r="M897" s="3"/>
      <c r="N897" s="6"/>
      <c r="O897" s="6"/>
      <c r="P897" s="6"/>
      <c r="Q897" s="6"/>
      <c r="R897" s="6"/>
      <c r="S897" s="6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18"/>
      <c r="J898" s="3"/>
      <c r="K898" s="3"/>
      <c r="L898" s="3"/>
      <c r="M898" s="3"/>
      <c r="N898" s="6"/>
      <c r="O898" s="6"/>
      <c r="P898" s="6"/>
      <c r="Q898" s="6"/>
      <c r="R898" s="6"/>
      <c r="S898" s="6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18"/>
      <c r="J899" s="3"/>
      <c r="K899" s="3"/>
      <c r="L899" s="3"/>
      <c r="M899" s="3"/>
      <c r="N899" s="6"/>
      <c r="O899" s="6"/>
      <c r="P899" s="6"/>
      <c r="Q899" s="6"/>
      <c r="R899" s="6"/>
      <c r="S899" s="6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18"/>
      <c r="J900" s="3"/>
      <c r="K900" s="3"/>
      <c r="L900" s="3"/>
      <c r="M900" s="3"/>
      <c r="N900" s="6"/>
      <c r="O900" s="6"/>
      <c r="P900" s="6"/>
      <c r="Q900" s="6"/>
      <c r="R900" s="6"/>
      <c r="S900" s="6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18"/>
      <c r="J901" s="3"/>
      <c r="K901" s="3"/>
      <c r="L901" s="3"/>
      <c r="M901" s="3"/>
      <c r="N901" s="6"/>
      <c r="O901" s="6"/>
      <c r="P901" s="6"/>
      <c r="Q901" s="6"/>
      <c r="R901" s="6"/>
      <c r="S901" s="6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18"/>
      <c r="J902" s="3"/>
      <c r="K902" s="3"/>
      <c r="L902" s="3"/>
      <c r="M902" s="3"/>
      <c r="N902" s="6"/>
      <c r="O902" s="6"/>
      <c r="P902" s="6"/>
      <c r="Q902" s="6"/>
      <c r="R902" s="6"/>
      <c r="S902" s="6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18"/>
      <c r="J903" s="3"/>
      <c r="K903" s="3"/>
      <c r="L903" s="3"/>
      <c r="M903" s="3"/>
      <c r="N903" s="6"/>
      <c r="O903" s="6"/>
      <c r="P903" s="6"/>
      <c r="Q903" s="6"/>
      <c r="R903" s="6"/>
      <c r="S903" s="6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18"/>
      <c r="J904" s="3"/>
      <c r="K904" s="3"/>
      <c r="L904" s="3"/>
      <c r="M904" s="3"/>
      <c r="N904" s="6"/>
      <c r="O904" s="6"/>
      <c r="P904" s="6"/>
      <c r="Q904" s="6"/>
      <c r="R904" s="6"/>
      <c r="S904" s="6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18"/>
      <c r="J905" s="3"/>
      <c r="K905" s="3"/>
      <c r="L905" s="3"/>
      <c r="M905" s="3"/>
      <c r="N905" s="6"/>
      <c r="O905" s="6"/>
      <c r="P905" s="6"/>
      <c r="Q905" s="6"/>
      <c r="R905" s="6"/>
      <c r="S905" s="6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18"/>
      <c r="J906" s="3"/>
      <c r="K906" s="3"/>
      <c r="L906" s="3"/>
      <c r="M906" s="3"/>
      <c r="N906" s="6"/>
      <c r="O906" s="6"/>
      <c r="P906" s="6"/>
      <c r="Q906" s="6"/>
      <c r="R906" s="6"/>
      <c r="S906" s="6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18"/>
      <c r="J907" s="3"/>
      <c r="K907" s="3"/>
      <c r="L907" s="3"/>
      <c r="M907" s="3"/>
      <c r="N907" s="6"/>
      <c r="O907" s="6"/>
      <c r="P907" s="6"/>
      <c r="Q907" s="6"/>
      <c r="R907" s="6"/>
      <c r="S907" s="6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18"/>
      <c r="J908" s="3"/>
      <c r="K908" s="3"/>
      <c r="L908" s="3"/>
      <c r="M908" s="3"/>
      <c r="N908" s="6"/>
      <c r="O908" s="6"/>
      <c r="P908" s="6"/>
      <c r="Q908" s="6"/>
      <c r="R908" s="6"/>
      <c r="S908" s="6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18"/>
      <c r="J909" s="3"/>
      <c r="K909" s="3"/>
      <c r="L909" s="3"/>
      <c r="M909" s="3"/>
      <c r="N909" s="6"/>
      <c r="O909" s="6"/>
      <c r="P909" s="6"/>
      <c r="Q909" s="6"/>
      <c r="R909" s="6"/>
      <c r="S909" s="6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18"/>
      <c r="J910" s="3"/>
      <c r="K910" s="3"/>
      <c r="L910" s="3"/>
      <c r="M910" s="3"/>
      <c r="N910" s="6"/>
      <c r="O910" s="6"/>
      <c r="P910" s="6"/>
      <c r="Q910" s="6"/>
      <c r="R910" s="6"/>
      <c r="S910" s="6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18"/>
      <c r="J911" s="3"/>
      <c r="K911" s="3"/>
      <c r="L911" s="3"/>
      <c r="M911" s="3"/>
      <c r="N911" s="6"/>
      <c r="O911" s="6"/>
      <c r="P911" s="6"/>
      <c r="Q911" s="6"/>
      <c r="R911" s="6"/>
      <c r="S911" s="6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18"/>
      <c r="J912" s="3"/>
      <c r="K912" s="3"/>
      <c r="L912" s="3"/>
      <c r="M912" s="3"/>
      <c r="N912" s="6"/>
      <c r="O912" s="6"/>
      <c r="P912" s="6"/>
      <c r="Q912" s="6"/>
      <c r="R912" s="6"/>
      <c r="S912" s="6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18"/>
      <c r="J913" s="3"/>
      <c r="K913" s="3"/>
      <c r="L913" s="3"/>
      <c r="M913" s="3"/>
      <c r="N913" s="6"/>
      <c r="O913" s="6"/>
      <c r="P913" s="6"/>
      <c r="Q913" s="6"/>
      <c r="R913" s="6"/>
      <c r="S913" s="6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18"/>
      <c r="J914" s="3"/>
      <c r="K914" s="3"/>
      <c r="L914" s="3"/>
      <c r="M914" s="3"/>
      <c r="N914" s="6"/>
      <c r="O914" s="6"/>
      <c r="P914" s="6"/>
      <c r="Q914" s="6"/>
      <c r="R914" s="6"/>
      <c r="S914" s="6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18"/>
      <c r="J915" s="3"/>
      <c r="K915" s="3"/>
      <c r="L915" s="3"/>
      <c r="M915" s="3"/>
      <c r="N915" s="6"/>
      <c r="O915" s="6"/>
      <c r="P915" s="6"/>
      <c r="Q915" s="6"/>
      <c r="R915" s="6"/>
      <c r="S915" s="6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18"/>
      <c r="J916" s="3"/>
      <c r="K916" s="3"/>
      <c r="L916" s="3"/>
      <c r="M916" s="3"/>
      <c r="N916" s="6"/>
      <c r="O916" s="6"/>
      <c r="P916" s="6"/>
      <c r="Q916" s="6"/>
      <c r="R916" s="6"/>
      <c r="S916" s="6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18"/>
      <c r="J917" s="3"/>
      <c r="K917" s="3"/>
      <c r="L917" s="3"/>
      <c r="M917" s="3"/>
      <c r="N917" s="6"/>
      <c r="O917" s="6"/>
      <c r="P917" s="6"/>
      <c r="Q917" s="6"/>
      <c r="R917" s="6"/>
      <c r="S917" s="6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18"/>
      <c r="J918" s="3"/>
      <c r="K918" s="3"/>
      <c r="L918" s="3"/>
      <c r="M918" s="3"/>
      <c r="N918" s="6"/>
      <c r="O918" s="6"/>
      <c r="P918" s="6"/>
      <c r="Q918" s="6"/>
      <c r="R918" s="6"/>
      <c r="S918" s="6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18"/>
      <c r="J919" s="3"/>
      <c r="K919" s="3"/>
      <c r="L919" s="3"/>
      <c r="M919" s="3"/>
      <c r="N919" s="6"/>
      <c r="O919" s="6"/>
      <c r="P919" s="6"/>
      <c r="Q919" s="6"/>
      <c r="R919" s="6"/>
      <c r="S919" s="6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18"/>
      <c r="J920" s="3"/>
      <c r="K920" s="3"/>
      <c r="L920" s="3"/>
      <c r="M920" s="3"/>
      <c r="N920" s="6"/>
      <c r="O920" s="6"/>
      <c r="P920" s="6"/>
      <c r="Q920" s="6"/>
      <c r="R920" s="6"/>
      <c r="S920" s="6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18"/>
      <c r="J921" s="3"/>
      <c r="K921" s="3"/>
      <c r="L921" s="3"/>
      <c r="M921" s="3"/>
      <c r="N921" s="6"/>
      <c r="O921" s="6"/>
      <c r="P921" s="6"/>
      <c r="Q921" s="6"/>
      <c r="R921" s="6"/>
      <c r="S921" s="6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18"/>
      <c r="J922" s="3"/>
      <c r="K922" s="3"/>
      <c r="L922" s="3"/>
      <c r="M922" s="3"/>
      <c r="N922" s="6"/>
      <c r="O922" s="6"/>
      <c r="P922" s="6"/>
      <c r="Q922" s="6"/>
      <c r="R922" s="6"/>
      <c r="S922" s="6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18"/>
      <c r="J923" s="3"/>
      <c r="K923" s="3"/>
      <c r="L923" s="3"/>
      <c r="M923" s="3"/>
      <c r="N923" s="6"/>
      <c r="O923" s="6"/>
      <c r="P923" s="6"/>
      <c r="Q923" s="6"/>
      <c r="R923" s="6"/>
      <c r="S923" s="6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18"/>
      <c r="J924" s="3"/>
      <c r="K924" s="3"/>
      <c r="L924" s="3"/>
      <c r="M924" s="3"/>
      <c r="N924" s="6"/>
      <c r="O924" s="6"/>
      <c r="P924" s="6"/>
      <c r="Q924" s="6"/>
      <c r="R924" s="6"/>
      <c r="S924" s="6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18"/>
      <c r="J925" s="3"/>
      <c r="K925" s="3"/>
      <c r="L925" s="3"/>
      <c r="M925" s="3"/>
      <c r="N925" s="6"/>
      <c r="O925" s="6"/>
      <c r="P925" s="6"/>
      <c r="Q925" s="6"/>
      <c r="R925" s="6"/>
      <c r="S925" s="6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18"/>
      <c r="J926" s="3"/>
      <c r="K926" s="3"/>
      <c r="L926" s="3"/>
      <c r="M926" s="3"/>
      <c r="N926" s="6"/>
      <c r="O926" s="6"/>
      <c r="P926" s="6"/>
      <c r="Q926" s="6"/>
      <c r="R926" s="6"/>
      <c r="S926" s="6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18"/>
      <c r="J927" s="3"/>
      <c r="K927" s="3"/>
      <c r="L927" s="3"/>
      <c r="M927" s="3"/>
      <c r="N927" s="6"/>
      <c r="O927" s="6"/>
      <c r="P927" s="6"/>
      <c r="Q927" s="6"/>
      <c r="R927" s="6"/>
      <c r="S927" s="6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18"/>
      <c r="J928" s="3"/>
      <c r="K928" s="3"/>
      <c r="L928" s="3"/>
      <c r="M928" s="3"/>
      <c r="N928" s="6"/>
      <c r="O928" s="6"/>
      <c r="P928" s="6"/>
      <c r="Q928" s="6"/>
      <c r="R928" s="6"/>
      <c r="S928" s="6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18"/>
      <c r="J929" s="3"/>
      <c r="K929" s="3"/>
      <c r="L929" s="3"/>
      <c r="M929" s="3"/>
      <c r="N929" s="6"/>
      <c r="O929" s="6"/>
      <c r="P929" s="6"/>
      <c r="Q929" s="6"/>
      <c r="R929" s="6"/>
      <c r="S929" s="6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18"/>
      <c r="J930" s="3"/>
      <c r="K930" s="3"/>
      <c r="L930" s="3"/>
      <c r="M930" s="3"/>
      <c r="N930" s="6"/>
      <c r="O930" s="6"/>
      <c r="P930" s="6"/>
      <c r="Q930" s="6"/>
      <c r="R930" s="6"/>
      <c r="S930" s="6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18"/>
      <c r="J931" s="3"/>
      <c r="K931" s="3"/>
      <c r="L931" s="3"/>
      <c r="M931" s="3"/>
      <c r="N931" s="6"/>
      <c r="O931" s="6"/>
      <c r="P931" s="6"/>
      <c r="Q931" s="6"/>
      <c r="R931" s="6"/>
      <c r="S931" s="6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18"/>
      <c r="J932" s="3"/>
      <c r="K932" s="3"/>
      <c r="L932" s="3"/>
      <c r="M932" s="3"/>
      <c r="N932" s="6"/>
      <c r="O932" s="6"/>
      <c r="P932" s="6"/>
      <c r="Q932" s="6"/>
      <c r="R932" s="6"/>
      <c r="S932" s="6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18"/>
      <c r="J933" s="3"/>
      <c r="K933" s="3"/>
      <c r="L933" s="3"/>
      <c r="M933" s="3"/>
      <c r="N933" s="6"/>
      <c r="O933" s="6"/>
      <c r="P933" s="6"/>
      <c r="Q933" s="6"/>
      <c r="R933" s="6"/>
      <c r="S933" s="6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18"/>
      <c r="J934" s="3"/>
      <c r="K934" s="3"/>
      <c r="L934" s="3"/>
      <c r="M934" s="3"/>
      <c r="N934" s="6"/>
      <c r="O934" s="6"/>
      <c r="P934" s="6"/>
      <c r="Q934" s="6"/>
      <c r="R934" s="6"/>
      <c r="S934" s="6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18"/>
      <c r="J935" s="3"/>
      <c r="K935" s="3"/>
      <c r="L935" s="3"/>
      <c r="M935" s="3"/>
      <c r="N935" s="6"/>
      <c r="O935" s="6"/>
      <c r="P935" s="6"/>
      <c r="Q935" s="6"/>
      <c r="R935" s="6"/>
      <c r="S935" s="6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18"/>
      <c r="J936" s="3"/>
      <c r="K936" s="3"/>
      <c r="L936" s="3"/>
      <c r="M936" s="3"/>
      <c r="N936" s="6"/>
      <c r="O936" s="6"/>
      <c r="P936" s="6"/>
      <c r="Q936" s="6"/>
      <c r="R936" s="6"/>
      <c r="S936" s="6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18"/>
      <c r="J937" s="3"/>
      <c r="K937" s="3"/>
      <c r="L937" s="3"/>
      <c r="M937" s="3"/>
      <c r="N937" s="6"/>
      <c r="O937" s="6"/>
      <c r="P937" s="6"/>
      <c r="Q937" s="6"/>
      <c r="R937" s="6"/>
      <c r="S937" s="6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18"/>
      <c r="J938" s="3"/>
      <c r="K938" s="3"/>
      <c r="L938" s="3"/>
      <c r="M938" s="3"/>
      <c r="N938" s="6"/>
      <c r="O938" s="6"/>
      <c r="P938" s="6"/>
      <c r="Q938" s="6"/>
      <c r="R938" s="6"/>
      <c r="S938" s="6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18"/>
      <c r="J939" s="3"/>
      <c r="K939" s="3"/>
      <c r="L939" s="3"/>
      <c r="M939" s="3"/>
      <c r="N939" s="6"/>
      <c r="O939" s="6"/>
      <c r="P939" s="6"/>
      <c r="Q939" s="6"/>
      <c r="R939" s="6"/>
      <c r="S939" s="6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18"/>
      <c r="J940" s="3"/>
      <c r="K940" s="3"/>
      <c r="L940" s="3"/>
      <c r="M940" s="3"/>
      <c r="N940" s="6"/>
      <c r="O940" s="6"/>
      <c r="P940" s="6"/>
      <c r="Q940" s="6"/>
      <c r="R940" s="6"/>
      <c r="S940" s="6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18"/>
      <c r="J941" s="3"/>
      <c r="K941" s="3"/>
      <c r="L941" s="3"/>
      <c r="M941" s="3"/>
      <c r="N941" s="6"/>
      <c r="O941" s="6"/>
      <c r="P941" s="6"/>
      <c r="Q941" s="6"/>
      <c r="R941" s="6"/>
      <c r="S941" s="6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18"/>
      <c r="J942" s="3"/>
      <c r="K942" s="3"/>
      <c r="L942" s="3"/>
      <c r="M942" s="3"/>
      <c r="N942" s="6"/>
      <c r="O942" s="6"/>
      <c r="P942" s="6"/>
      <c r="Q942" s="6"/>
      <c r="R942" s="6"/>
      <c r="S942" s="6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18"/>
      <c r="J943" s="3"/>
      <c r="K943" s="3"/>
      <c r="L943" s="3"/>
      <c r="M943" s="3"/>
      <c r="N943" s="6"/>
      <c r="O943" s="6"/>
      <c r="P943" s="6"/>
      <c r="Q943" s="6"/>
      <c r="R943" s="6"/>
      <c r="S943" s="6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18"/>
      <c r="J944" s="3"/>
      <c r="K944" s="3"/>
      <c r="L944" s="3"/>
      <c r="M944" s="3"/>
      <c r="N944" s="6"/>
      <c r="O944" s="6"/>
      <c r="P944" s="6"/>
      <c r="Q944" s="6"/>
      <c r="R944" s="6"/>
      <c r="S944" s="6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18"/>
      <c r="J945" s="3"/>
      <c r="K945" s="3"/>
      <c r="L945" s="3"/>
      <c r="M945" s="3"/>
      <c r="N945" s="6"/>
      <c r="O945" s="6"/>
      <c r="P945" s="6"/>
      <c r="Q945" s="6"/>
      <c r="R945" s="6"/>
      <c r="S945" s="6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18"/>
      <c r="J946" s="3"/>
      <c r="K946" s="3"/>
      <c r="L946" s="3"/>
      <c r="M946" s="3"/>
      <c r="N946" s="6"/>
      <c r="O946" s="6"/>
      <c r="P946" s="6"/>
      <c r="Q946" s="6"/>
      <c r="R946" s="6"/>
      <c r="S946" s="6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18"/>
      <c r="J947" s="3"/>
      <c r="K947" s="3"/>
      <c r="L947" s="3"/>
      <c r="M947" s="3"/>
      <c r="N947" s="6"/>
      <c r="O947" s="6"/>
      <c r="P947" s="6"/>
      <c r="Q947" s="6"/>
      <c r="R947" s="6"/>
      <c r="S947" s="6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18"/>
      <c r="J948" s="3"/>
      <c r="K948" s="3"/>
      <c r="L948" s="3"/>
      <c r="M948" s="3"/>
      <c r="N948" s="6"/>
      <c r="O948" s="6"/>
      <c r="P948" s="6"/>
      <c r="Q948" s="6"/>
      <c r="R948" s="6"/>
      <c r="S948" s="6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18"/>
      <c r="J949" s="3"/>
      <c r="K949" s="3"/>
      <c r="L949" s="3"/>
      <c r="M949" s="3"/>
      <c r="N949" s="6"/>
      <c r="O949" s="6"/>
      <c r="P949" s="6"/>
      <c r="Q949" s="6"/>
      <c r="R949" s="6"/>
      <c r="S949" s="6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18"/>
      <c r="J950" s="3"/>
      <c r="K950" s="3"/>
      <c r="L950" s="3"/>
      <c r="M950" s="3"/>
      <c r="N950" s="6"/>
      <c r="O950" s="6"/>
      <c r="P950" s="6"/>
      <c r="Q950" s="6"/>
      <c r="R950" s="6"/>
      <c r="S950" s="6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18"/>
      <c r="J951" s="3"/>
      <c r="K951" s="3"/>
      <c r="L951" s="3"/>
      <c r="M951" s="3"/>
      <c r="N951" s="6"/>
      <c r="O951" s="6"/>
      <c r="P951" s="6"/>
      <c r="Q951" s="6"/>
      <c r="R951" s="6"/>
      <c r="S951" s="6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18"/>
      <c r="J952" s="3"/>
      <c r="K952" s="3"/>
      <c r="L952" s="3"/>
      <c r="M952" s="3"/>
      <c r="N952" s="6"/>
      <c r="O952" s="6"/>
      <c r="P952" s="6"/>
      <c r="Q952" s="6"/>
      <c r="R952" s="6"/>
      <c r="S952" s="6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18"/>
      <c r="J953" s="3"/>
      <c r="K953" s="3"/>
      <c r="L953" s="3"/>
      <c r="M953" s="3"/>
      <c r="N953" s="6"/>
      <c r="O953" s="6"/>
      <c r="P953" s="6"/>
      <c r="Q953" s="6"/>
      <c r="R953" s="6"/>
      <c r="S953" s="6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18"/>
      <c r="J954" s="3"/>
      <c r="K954" s="3"/>
      <c r="L954" s="3"/>
      <c r="M954" s="3"/>
      <c r="N954" s="6"/>
      <c r="O954" s="6"/>
      <c r="P954" s="6"/>
      <c r="Q954" s="6"/>
      <c r="R954" s="6"/>
      <c r="S954" s="6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18"/>
      <c r="J955" s="3"/>
      <c r="K955" s="3"/>
      <c r="L955" s="3"/>
      <c r="M955" s="3"/>
      <c r="N955" s="6"/>
      <c r="O955" s="6"/>
      <c r="P955" s="6"/>
      <c r="Q955" s="6"/>
      <c r="R955" s="6"/>
      <c r="S955" s="6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18"/>
      <c r="J956" s="3"/>
      <c r="K956" s="3"/>
      <c r="L956" s="3"/>
      <c r="M956" s="3"/>
      <c r="N956" s="6"/>
      <c r="O956" s="6"/>
      <c r="P956" s="6"/>
      <c r="Q956" s="6"/>
      <c r="R956" s="6"/>
      <c r="S956" s="6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18"/>
      <c r="J957" s="3"/>
      <c r="K957" s="3"/>
      <c r="L957" s="3"/>
      <c r="M957" s="3"/>
      <c r="N957" s="6"/>
      <c r="O957" s="6"/>
      <c r="P957" s="6"/>
      <c r="Q957" s="6"/>
      <c r="R957" s="6"/>
      <c r="S957" s="6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18"/>
      <c r="J958" s="3"/>
      <c r="K958" s="3"/>
      <c r="L958" s="3"/>
      <c r="M958" s="3"/>
      <c r="N958" s="6"/>
      <c r="O958" s="6"/>
      <c r="P958" s="6"/>
      <c r="Q958" s="6"/>
      <c r="R958" s="6"/>
      <c r="S958" s="6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18"/>
      <c r="J959" s="3"/>
      <c r="K959" s="3"/>
      <c r="L959" s="3"/>
      <c r="M959" s="3"/>
      <c r="N959" s="6"/>
      <c r="O959" s="6"/>
      <c r="P959" s="6"/>
      <c r="Q959" s="6"/>
      <c r="R959" s="6"/>
      <c r="S959" s="6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18"/>
      <c r="J960" s="3"/>
      <c r="K960" s="3"/>
      <c r="L960" s="3"/>
      <c r="M960" s="3"/>
      <c r="N960" s="6"/>
      <c r="O960" s="6"/>
      <c r="P960" s="6"/>
      <c r="Q960" s="6"/>
      <c r="R960" s="6"/>
      <c r="S960" s="6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18"/>
      <c r="J961" s="3"/>
      <c r="K961" s="3"/>
      <c r="L961" s="3"/>
      <c r="M961" s="3"/>
      <c r="N961" s="6"/>
      <c r="O961" s="6"/>
      <c r="P961" s="6"/>
      <c r="Q961" s="6"/>
      <c r="R961" s="6"/>
      <c r="S961" s="6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18"/>
      <c r="J962" s="3"/>
      <c r="K962" s="3"/>
      <c r="L962" s="3"/>
      <c r="M962" s="3"/>
      <c r="N962" s="6"/>
      <c r="O962" s="6"/>
      <c r="P962" s="6"/>
      <c r="Q962" s="6"/>
      <c r="R962" s="6"/>
      <c r="S962" s="6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18"/>
      <c r="J963" s="3"/>
      <c r="K963" s="3"/>
      <c r="L963" s="3"/>
      <c r="M963" s="3"/>
      <c r="N963" s="6"/>
      <c r="O963" s="6"/>
      <c r="P963" s="6"/>
      <c r="Q963" s="6"/>
      <c r="R963" s="6"/>
      <c r="S963" s="6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18"/>
      <c r="J964" s="3"/>
      <c r="K964" s="3"/>
      <c r="L964" s="3"/>
      <c r="M964" s="3"/>
      <c r="N964" s="6"/>
      <c r="O964" s="6"/>
      <c r="P964" s="6"/>
      <c r="Q964" s="6"/>
      <c r="R964" s="6"/>
      <c r="S964" s="6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18"/>
      <c r="J965" s="3"/>
      <c r="K965" s="3"/>
      <c r="L965" s="3"/>
      <c r="M965" s="3"/>
      <c r="N965" s="6"/>
      <c r="O965" s="6"/>
      <c r="P965" s="6"/>
      <c r="Q965" s="6"/>
      <c r="R965" s="6"/>
      <c r="S965" s="6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18"/>
      <c r="J966" s="3"/>
      <c r="K966" s="3"/>
      <c r="L966" s="3"/>
      <c r="M966" s="3"/>
      <c r="N966" s="6"/>
      <c r="O966" s="6"/>
      <c r="P966" s="6"/>
      <c r="Q966" s="6"/>
      <c r="R966" s="6"/>
      <c r="S966" s="6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18"/>
      <c r="J967" s="3"/>
      <c r="K967" s="3"/>
      <c r="L967" s="3"/>
      <c r="M967" s="3"/>
      <c r="N967" s="6"/>
      <c r="O967" s="6"/>
      <c r="P967" s="6"/>
      <c r="Q967" s="6"/>
      <c r="R967" s="6"/>
      <c r="S967" s="6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18"/>
      <c r="J968" s="3"/>
      <c r="K968" s="3"/>
      <c r="L968" s="3"/>
      <c r="M968" s="3"/>
      <c r="N968" s="6"/>
      <c r="O968" s="6"/>
      <c r="P968" s="6"/>
      <c r="Q968" s="6"/>
      <c r="R968" s="6"/>
      <c r="S968" s="6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18"/>
      <c r="J969" s="3"/>
      <c r="K969" s="3"/>
      <c r="L969" s="3"/>
      <c r="M969" s="3"/>
      <c r="N969" s="6"/>
      <c r="O969" s="6"/>
      <c r="P969" s="6"/>
      <c r="Q969" s="6"/>
      <c r="R969" s="6"/>
      <c r="S969" s="6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18"/>
      <c r="J970" s="3"/>
      <c r="K970" s="3"/>
      <c r="L970" s="3"/>
      <c r="M970" s="3"/>
      <c r="N970" s="6"/>
      <c r="O970" s="6"/>
      <c r="P970" s="6"/>
      <c r="Q970" s="6"/>
      <c r="R970" s="6"/>
      <c r="S970" s="6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18"/>
      <c r="J971" s="3"/>
      <c r="K971" s="3"/>
      <c r="L971" s="3"/>
      <c r="M971" s="3"/>
      <c r="N971" s="6"/>
      <c r="O971" s="6"/>
      <c r="P971" s="6"/>
      <c r="Q971" s="6"/>
      <c r="R971" s="6"/>
      <c r="S971" s="6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18"/>
      <c r="J972" s="3"/>
      <c r="K972" s="3"/>
      <c r="L972" s="3"/>
      <c r="M972" s="3"/>
      <c r="N972" s="6"/>
      <c r="O972" s="6"/>
      <c r="P972" s="6"/>
      <c r="Q972" s="6"/>
      <c r="R972" s="6"/>
      <c r="S972" s="6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18"/>
      <c r="J973" s="3"/>
      <c r="K973" s="3"/>
      <c r="L973" s="3"/>
      <c r="M973" s="3"/>
      <c r="N973" s="6"/>
      <c r="O973" s="6"/>
      <c r="P973" s="6"/>
      <c r="Q973" s="6"/>
      <c r="R973" s="6"/>
      <c r="S973" s="6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18"/>
      <c r="J974" s="3"/>
      <c r="K974" s="3"/>
      <c r="L974" s="3"/>
      <c r="M974" s="3"/>
      <c r="N974" s="6"/>
      <c r="O974" s="6"/>
      <c r="P974" s="6"/>
      <c r="Q974" s="6"/>
      <c r="R974" s="6"/>
      <c r="S974" s="6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18"/>
      <c r="J975" s="3"/>
      <c r="K975" s="3"/>
      <c r="L975" s="3"/>
      <c r="M975" s="3"/>
      <c r="N975" s="6"/>
      <c r="O975" s="6"/>
      <c r="P975" s="6"/>
      <c r="Q975" s="6"/>
      <c r="R975" s="6"/>
      <c r="S975" s="6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18"/>
      <c r="J976" s="3"/>
      <c r="K976" s="3"/>
      <c r="L976" s="3"/>
      <c r="M976" s="3"/>
      <c r="N976" s="6"/>
      <c r="O976" s="6"/>
      <c r="P976" s="6"/>
      <c r="Q976" s="6"/>
      <c r="R976" s="6"/>
      <c r="S976" s="6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18"/>
      <c r="J977" s="3"/>
      <c r="K977" s="3"/>
      <c r="L977" s="3"/>
      <c r="M977" s="3"/>
      <c r="N977" s="6"/>
      <c r="O977" s="6"/>
      <c r="P977" s="6"/>
      <c r="Q977" s="6"/>
      <c r="R977" s="6"/>
      <c r="S977" s="6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18"/>
      <c r="J978" s="3"/>
      <c r="K978" s="3"/>
      <c r="L978" s="3"/>
      <c r="M978" s="3"/>
      <c r="N978" s="6"/>
      <c r="O978" s="6"/>
      <c r="P978" s="6"/>
      <c r="Q978" s="6"/>
      <c r="R978" s="6"/>
      <c r="S978" s="6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18"/>
      <c r="J979" s="3"/>
      <c r="K979" s="3"/>
      <c r="L979" s="3"/>
      <c r="M979" s="3"/>
      <c r="N979" s="6"/>
      <c r="O979" s="6"/>
      <c r="P979" s="6"/>
      <c r="Q979" s="6"/>
      <c r="R979" s="6"/>
      <c r="S979" s="6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18"/>
      <c r="J980" s="3"/>
      <c r="K980" s="3"/>
      <c r="L980" s="3"/>
      <c r="M980" s="3"/>
      <c r="N980" s="6"/>
      <c r="O980" s="6"/>
      <c r="P980" s="6"/>
      <c r="Q980" s="6"/>
      <c r="R980" s="6"/>
      <c r="S980" s="6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18"/>
      <c r="J981" s="3"/>
      <c r="K981" s="3"/>
      <c r="L981" s="3"/>
      <c r="M981" s="3"/>
      <c r="N981" s="6"/>
      <c r="O981" s="6"/>
      <c r="P981" s="6"/>
      <c r="Q981" s="6"/>
      <c r="R981" s="6"/>
      <c r="S981" s="6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18"/>
      <c r="J982" s="3"/>
      <c r="K982" s="3"/>
      <c r="L982" s="3"/>
      <c r="M982" s="3"/>
      <c r="N982" s="6"/>
      <c r="O982" s="6"/>
      <c r="P982" s="6"/>
      <c r="Q982" s="6"/>
      <c r="R982" s="6"/>
      <c r="S982" s="6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18"/>
      <c r="J983" s="3"/>
      <c r="K983" s="3"/>
      <c r="L983" s="3"/>
      <c r="M983" s="3"/>
      <c r="N983" s="6"/>
      <c r="O983" s="6"/>
      <c r="P983" s="6"/>
      <c r="Q983" s="6"/>
      <c r="R983" s="6"/>
      <c r="S983" s="6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18"/>
      <c r="J984" s="3"/>
      <c r="K984" s="3"/>
      <c r="L984" s="3"/>
      <c r="M984" s="3"/>
      <c r="N984" s="6"/>
      <c r="O984" s="6"/>
      <c r="P984" s="6"/>
      <c r="Q984" s="6"/>
      <c r="R984" s="6"/>
      <c r="S984" s="6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18"/>
      <c r="J985" s="3"/>
      <c r="K985" s="3"/>
      <c r="L985" s="3"/>
      <c r="M985" s="3"/>
      <c r="N985" s="6"/>
      <c r="O985" s="6"/>
      <c r="P985" s="6"/>
      <c r="Q985" s="6"/>
      <c r="R985" s="6"/>
      <c r="S985" s="6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18"/>
      <c r="J986" s="3"/>
      <c r="K986" s="3"/>
      <c r="L986" s="3"/>
      <c r="M986" s="3"/>
      <c r="N986" s="6"/>
      <c r="O986" s="6"/>
      <c r="P986" s="6"/>
      <c r="Q986" s="6"/>
      <c r="R986" s="6"/>
      <c r="S986" s="6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18"/>
      <c r="J987" s="3"/>
      <c r="K987" s="3"/>
      <c r="L987" s="3"/>
      <c r="M987" s="3"/>
      <c r="N987" s="6"/>
      <c r="O987" s="6"/>
      <c r="P987" s="6"/>
      <c r="Q987" s="6"/>
      <c r="R987" s="6"/>
      <c r="S987" s="6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18"/>
      <c r="J988" s="3"/>
      <c r="K988" s="3"/>
      <c r="L988" s="3"/>
      <c r="M988" s="3"/>
      <c r="N988" s="6"/>
      <c r="O988" s="6"/>
      <c r="P988" s="6"/>
      <c r="Q988" s="6"/>
      <c r="R988" s="6"/>
      <c r="S988" s="6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18"/>
      <c r="J989" s="3"/>
      <c r="K989" s="3"/>
      <c r="L989" s="3"/>
      <c r="M989" s="3"/>
      <c r="N989" s="6"/>
      <c r="O989" s="6"/>
      <c r="P989" s="6"/>
      <c r="Q989" s="6"/>
      <c r="R989" s="6"/>
      <c r="S989" s="6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18"/>
      <c r="J990" s="3"/>
      <c r="K990" s="3"/>
      <c r="L990" s="3"/>
      <c r="M990" s="3"/>
      <c r="N990" s="6"/>
      <c r="O990" s="6"/>
      <c r="P990" s="6"/>
      <c r="Q990" s="6"/>
      <c r="R990" s="6"/>
      <c r="S990" s="6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18"/>
      <c r="J991" s="3"/>
      <c r="K991" s="3"/>
      <c r="L991" s="3"/>
      <c r="M991" s="3"/>
      <c r="N991" s="6"/>
      <c r="O991" s="6"/>
      <c r="P991" s="6"/>
      <c r="Q991" s="6"/>
      <c r="R991" s="6"/>
      <c r="S991" s="6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18"/>
      <c r="J992" s="3"/>
      <c r="K992" s="3"/>
      <c r="L992" s="3"/>
      <c r="M992" s="3"/>
      <c r="N992" s="6"/>
      <c r="O992" s="6"/>
      <c r="P992" s="6"/>
      <c r="Q992" s="6"/>
      <c r="R992" s="6"/>
      <c r="S992" s="6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18"/>
      <c r="J993" s="3"/>
      <c r="K993" s="3"/>
      <c r="L993" s="3"/>
      <c r="M993" s="3"/>
      <c r="N993" s="6"/>
      <c r="O993" s="6"/>
      <c r="P993" s="6"/>
      <c r="Q993" s="6"/>
      <c r="R993" s="6"/>
      <c r="S993" s="6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18"/>
      <c r="J994" s="3"/>
      <c r="K994" s="3"/>
      <c r="L994" s="3"/>
      <c r="M994" s="3"/>
      <c r="N994" s="6"/>
      <c r="O994" s="6"/>
      <c r="P994" s="6"/>
      <c r="Q994" s="6"/>
      <c r="R994" s="6"/>
      <c r="S994" s="6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18"/>
      <c r="J995" s="3"/>
      <c r="K995" s="3"/>
      <c r="L995" s="3"/>
      <c r="M995" s="3"/>
      <c r="N995" s="6"/>
      <c r="O995" s="6"/>
      <c r="P995" s="6"/>
      <c r="Q995" s="6"/>
      <c r="R995" s="6"/>
      <c r="S995" s="6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18"/>
      <c r="J996" s="3"/>
      <c r="K996" s="3"/>
      <c r="L996" s="3"/>
      <c r="M996" s="3"/>
      <c r="N996" s="6"/>
      <c r="O996" s="6"/>
      <c r="P996" s="6"/>
      <c r="Q996" s="6"/>
      <c r="R996" s="6"/>
      <c r="S996" s="6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18"/>
      <c r="J997" s="3"/>
      <c r="K997" s="3"/>
      <c r="L997" s="3"/>
      <c r="M997" s="3"/>
      <c r="N997" s="6"/>
      <c r="O997" s="6"/>
      <c r="P997" s="6"/>
      <c r="Q997" s="6"/>
      <c r="R997" s="6"/>
      <c r="S997" s="6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18"/>
      <c r="J998" s="3"/>
      <c r="K998" s="3"/>
      <c r="L998" s="3"/>
      <c r="M998" s="3"/>
      <c r="N998" s="6"/>
      <c r="O998" s="6"/>
      <c r="P998" s="6"/>
      <c r="Q998" s="6"/>
      <c r="R998" s="6"/>
      <c r="S998" s="6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18"/>
      <c r="J999" s="3"/>
      <c r="K999" s="3"/>
      <c r="L999" s="3"/>
      <c r="M999" s="3"/>
      <c r="N999" s="6"/>
      <c r="O999" s="6"/>
      <c r="P999" s="6"/>
      <c r="Q999" s="6"/>
      <c r="R999" s="6"/>
      <c r="S999" s="6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18"/>
      <c r="J1000" s="3"/>
      <c r="K1000" s="3"/>
      <c r="L1000" s="3"/>
      <c r="M1000" s="3"/>
      <c r="N1000" s="6"/>
      <c r="O1000" s="6"/>
      <c r="P1000" s="6"/>
      <c r="Q1000" s="6"/>
      <c r="R1000" s="6"/>
      <c r="S1000" s="6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C352-8AD5-4E75-B8AB-F7CF989FDF6E}">
  <dimension ref="A1:Z1000"/>
  <sheetViews>
    <sheetView tabSelected="1" workbookViewId="0">
      <selection activeCell="D32" sqref="D32"/>
    </sheetView>
  </sheetViews>
  <sheetFormatPr defaultRowHeight="15" x14ac:dyDescent="0.25"/>
  <cols>
    <col min="1" max="1" width="9.140625" style="21"/>
    <col min="2" max="2" width="20.140625" style="21" customWidth="1"/>
    <col min="3" max="16384" width="9.140625" style="21"/>
  </cols>
  <sheetData>
    <row r="1" spans="1:26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/>
      <c r="B2" s="3" t="s">
        <v>27</v>
      </c>
      <c r="C2" s="22">
        <v>9.2100000000000003E-5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 t="s">
        <v>28</v>
      </c>
      <c r="C3" s="9">
        <v>7.2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2" t="s">
        <v>29</v>
      </c>
      <c r="C4" s="2" t="s">
        <v>30</v>
      </c>
      <c r="D4" s="2" t="s">
        <v>31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9">
        <v>7.2</v>
      </c>
      <c r="C5" s="9">
        <v>289</v>
      </c>
      <c r="D5" s="23">
        <f>$C$2*B5*B5*C5</f>
        <v>1.379820096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9">
        <v>7.2</v>
      </c>
      <c r="C6" s="9">
        <v>400</v>
      </c>
      <c r="D6" s="23">
        <f t="shared" ref="D6:D7" si="0">$C$2*B6*B6*C6</f>
        <v>1.9097856</v>
      </c>
      <c r="E6" s="3"/>
      <c r="F6" s="3"/>
      <c r="G6" s="24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9">
        <v>7.2</v>
      </c>
      <c r="C7" s="9">
        <v>450</v>
      </c>
      <c r="D7" s="23">
        <f t="shared" si="0"/>
        <v>2.1485088000000001</v>
      </c>
      <c r="E7" s="3"/>
      <c r="F7" s="3"/>
      <c r="G7" s="25">
        <v>430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2" t="s">
        <v>29</v>
      </c>
      <c r="G9" s="2" t="s">
        <v>31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9">
        <f>1.43/0.64</f>
        <v>2.234375</v>
      </c>
      <c r="E10" s="3"/>
      <c r="F10" s="9">
        <v>0</v>
      </c>
      <c r="G10" s="20">
        <f>$C$2*F10*F10*$G$7</f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9">
        <v>0.1</v>
      </c>
      <c r="G11" s="20">
        <f t="shared" ref="G11:G74" si="1">$C$2*F11*F11*$G$7</f>
        <v>3.9603000000000007E-4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9">
        <v>0.2</v>
      </c>
      <c r="G12" s="20">
        <f t="shared" si="1"/>
        <v>1.5841200000000003E-3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9">
        <v>0.3</v>
      </c>
      <c r="G13" s="20">
        <f t="shared" si="1"/>
        <v>3.56427E-3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9">
        <v>0.4</v>
      </c>
      <c r="G14" s="20">
        <f t="shared" si="1"/>
        <v>6.3364800000000011E-3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9">
        <v>0.5</v>
      </c>
      <c r="G15" s="20">
        <f t="shared" si="1"/>
        <v>9.9007499999999998E-3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9">
        <v>0.6</v>
      </c>
      <c r="G16" s="20">
        <f t="shared" si="1"/>
        <v>1.425708E-2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9">
        <v>0.7</v>
      </c>
      <c r="G17" s="20">
        <f t="shared" si="1"/>
        <v>1.9405469999999998E-2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9">
        <v>0.8</v>
      </c>
      <c r="G18" s="20">
        <f t="shared" si="1"/>
        <v>2.5345920000000004E-2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9">
        <v>0.9</v>
      </c>
      <c r="G19" s="20">
        <f t="shared" si="1"/>
        <v>3.2078429999999998E-2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9">
        <v>1</v>
      </c>
      <c r="G20" s="20">
        <f t="shared" si="1"/>
        <v>3.9602999999999999E-2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9">
        <v>1.1000000000000001</v>
      </c>
      <c r="G21" s="20">
        <f t="shared" si="1"/>
        <v>4.7919630000000012E-2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9">
        <v>1.2</v>
      </c>
      <c r="G22" s="20">
        <f t="shared" si="1"/>
        <v>5.702832E-2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9">
        <v>1.3</v>
      </c>
      <c r="G23" s="20">
        <f t="shared" si="1"/>
        <v>6.6929070000000007E-2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9">
        <v>1.4</v>
      </c>
      <c r="G24" s="20">
        <f t="shared" si="1"/>
        <v>7.762187999999999E-2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9">
        <v>1.5</v>
      </c>
      <c r="G25" s="20">
        <f t="shared" si="1"/>
        <v>8.9106749999999998E-2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9">
        <v>1.6</v>
      </c>
      <c r="G26" s="20">
        <f t="shared" si="1"/>
        <v>0.10138368000000002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9">
        <v>1.7</v>
      </c>
      <c r="G27" s="20">
        <f t="shared" si="1"/>
        <v>0.11445267000000001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9">
        <v>1.8</v>
      </c>
      <c r="G28" s="20">
        <f t="shared" si="1"/>
        <v>0.12831371999999999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9">
        <v>1.9</v>
      </c>
      <c r="G29" s="20">
        <f t="shared" si="1"/>
        <v>0.14296682999999999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9">
        <v>2</v>
      </c>
      <c r="G30" s="20">
        <f t="shared" si="1"/>
        <v>0.158412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9">
        <v>2.1</v>
      </c>
      <c r="G31" s="20">
        <f t="shared" si="1"/>
        <v>0.17464923000000002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9">
        <v>2.2000000000000002</v>
      </c>
      <c r="G32" s="20">
        <f t="shared" si="1"/>
        <v>0.19167852000000005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9">
        <v>2.2999999999999998</v>
      </c>
      <c r="G33" s="20">
        <f t="shared" si="1"/>
        <v>0.20949986999999998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9">
        <v>2.4</v>
      </c>
      <c r="G34" s="20">
        <f t="shared" si="1"/>
        <v>0.22811328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9">
        <v>2.5</v>
      </c>
      <c r="G35" s="20">
        <f t="shared" si="1"/>
        <v>0.24751875000000004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9">
        <v>2.6</v>
      </c>
      <c r="G36" s="20">
        <f t="shared" si="1"/>
        <v>0.26771628000000003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9">
        <v>2.7</v>
      </c>
      <c r="G37" s="20">
        <f t="shared" si="1"/>
        <v>0.28870587000000009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9">
        <v>2.8</v>
      </c>
      <c r="G38" s="20">
        <f t="shared" si="1"/>
        <v>0.31048751999999996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9">
        <v>2.9</v>
      </c>
      <c r="G39" s="20">
        <f t="shared" si="1"/>
        <v>0.33306122999999999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9">
        <v>3</v>
      </c>
      <c r="G40" s="20">
        <f t="shared" si="1"/>
        <v>0.35642699999999999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9">
        <v>3.1</v>
      </c>
      <c r="G41" s="20">
        <f t="shared" si="1"/>
        <v>0.38058482999999999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9">
        <v>3.2</v>
      </c>
      <c r="G42" s="20">
        <f t="shared" si="1"/>
        <v>0.40553472000000007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9">
        <v>3.3</v>
      </c>
      <c r="G43" s="20">
        <f t="shared" si="1"/>
        <v>0.43127667000000003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9">
        <v>3.4</v>
      </c>
      <c r="G44" s="20">
        <f t="shared" si="1"/>
        <v>0.45781068000000003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9">
        <v>3.5</v>
      </c>
      <c r="G45" s="20">
        <f t="shared" si="1"/>
        <v>0.48513675000000001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9">
        <v>3.6</v>
      </c>
      <c r="G46" s="20">
        <f t="shared" si="1"/>
        <v>0.51325487999999997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9">
        <v>3.7</v>
      </c>
      <c r="G47" s="20">
        <f t="shared" si="1"/>
        <v>0.54216507000000003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9">
        <v>3.8</v>
      </c>
      <c r="G48" s="20">
        <f t="shared" si="1"/>
        <v>0.57186731999999996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9">
        <v>3.9</v>
      </c>
      <c r="G49" s="20">
        <f t="shared" si="1"/>
        <v>0.60236163000000009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9">
        <v>4</v>
      </c>
      <c r="G50" s="20">
        <f t="shared" si="1"/>
        <v>0.63364799999999999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9">
        <v>4.0999999999999996</v>
      </c>
      <c r="G51" s="20">
        <f t="shared" si="1"/>
        <v>0.66572642999999987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9">
        <v>4.2</v>
      </c>
      <c r="G52" s="20">
        <f t="shared" si="1"/>
        <v>0.69859692000000007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9">
        <v>4.3</v>
      </c>
      <c r="G53" s="20">
        <f t="shared" si="1"/>
        <v>0.73225947000000002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9">
        <v>4.4000000000000004</v>
      </c>
      <c r="G54" s="20">
        <f t="shared" si="1"/>
        <v>0.76671408000000019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9">
        <v>4.5</v>
      </c>
      <c r="G55" s="20">
        <f t="shared" si="1"/>
        <v>0.80196075000000011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9">
        <v>4.5999999999999996</v>
      </c>
      <c r="G56" s="20">
        <f t="shared" si="1"/>
        <v>0.83799947999999991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9">
        <v>4.7</v>
      </c>
      <c r="G57" s="20">
        <f t="shared" si="1"/>
        <v>0.87483027000000002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9">
        <v>4.8</v>
      </c>
      <c r="G58" s="20">
        <f t="shared" si="1"/>
        <v>0.91245312000000001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9">
        <v>4.9000000000000004</v>
      </c>
      <c r="G59" s="20">
        <f t="shared" si="1"/>
        <v>0.9508680300000002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9">
        <v>5</v>
      </c>
      <c r="G60" s="20">
        <f t="shared" si="1"/>
        <v>0.99007500000000015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9">
        <v>5.0999999999999996</v>
      </c>
      <c r="G61" s="20">
        <f t="shared" si="1"/>
        <v>1.03007403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9">
        <v>5.2</v>
      </c>
      <c r="G62" s="20">
        <f t="shared" si="1"/>
        <v>1.0708651200000001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9">
        <v>5.3</v>
      </c>
      <c r="G63" s="20">
        <f t="shared" si="1"/>
        <v>1.11244827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9">
        <v>5.4</v>
      </c>
      <c r="G64" s="20">
        <f t="shared" si="1"/>
        <v>1.1548234800000003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9">
        <v>5.5</v>
      </c>
      <c r="G65" s="20">
        <f t="shared" si="1"/>
        <v>1.19799075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9">
        <v>5.6</v>
      </c>
      <c r="G66" s="20">
        <f t="shared" si="1"/>
        <v>1.2419500799999998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9">
        <v>5.7</v>
      </c>
      <c r="G67" s="20">
        <f t="shared" si="1"/>
        <v>1.2867014700000001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9">
        <v>5.8</v>
      </c>
      <c r="G68" s="20">
        <f t="shared" si="1"/>
        <v>1.3322449199999999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9">
        <v>5.9</v>
      </c>
      <c r="G69" s="20">
        <f t="shared" si="1"/>
        <v>1.3785804300000002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9">
        <v>6</v>
      </c>
      <c r="G70" s="20">
        <f t="shared" si="1"/>
        <v>1.425708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9">
        <v>6.1</v>
      </c>
      <c r="G71" s="20">
        <f t="shared" si="1"/>
        <v>1.4736276299999997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9">
        <v>6.2</v>
      </c>
      <c r="G72" s="20">
        <f t="shared" si="1"/>
        <v>1.5223393199999999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9">
        <v>6.3</v>
      </c>
      <c r="G73" s="20">
        <f t="shared" si="1"/>
        <v>1.5718430700000001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9">
        <v>6.4</v>
      </c>
      <c r="G74" s="20">
        <f t="shared" si="1"/>
        <v>1.6221388800000003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9">
        <v>6.5</v>
      </c>
      <c r="G75" s="20">
        <f t="shared" ref="G75:G82" si="2">$C$2*F75*F75*$G$7</f>
        <v>1.6732267500000002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9">
        <v>6.6</v>
      </c>
      <c r="G76" s="20">
        <f t="shared" si="2"/>
        <v>1.7251066800000001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9">
        <v>6.7</v>
      </c>
      <c r="G77" s="20">
        <f t="shared" si="2"/>
        <v>1.7777786700000002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9">
        <v>6.8</v>
      </c>
      <c r="G78" s="20">
        <f t="shared" si="2"/>
        <v>1.8312427200000001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9">
        <v>6.9</v>
      </c>
      <c r="G79" s="20">
        <f t="shared" si="2"/>
        <v>1.8854988300000002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9">
        <v>7</v>
      </c>
      <c r="G80" s="20">
        <f t="shared" si="2"/>
        <v>1.940547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9">
        <v>7.1</v>
      </c>
      <c r="G81" s="20">
        <f t="shared" si="2"/>
        <v>1.9963872299999998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9">
        <v>7.2</v>
      </c>
      <c r="G82" s="20">
        <f t="shared" si="2"/>
        <v>2.0530195199999999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Axial</vt:lpstr>
      <vt:lpstr>Radial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2026-09-17T17:31:56Z</dcterms:created>
  <dcterms:modified xsi:type="dcterms:W3CDTF">2026-09-17T18:00:11Z</dcterms:modified>
</cp:coreProperties>
</file>