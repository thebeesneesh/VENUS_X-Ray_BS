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wa\OneDrive\Documents\GitHub\VENUS_X-Ray_BS\"/>
    </mc:Choice>
  </mc:AlternateContent>
  <xr:revisionPtr revIDLastSave="0" documentId="13_ncr:1_{85A4B731-B338-4ABD-A6E7-C699B653F394}" xr6:coauthVersionLast="47" xr6:coauthVersionMax="47" xr10:uidLastSave="{00000000-0000-0000-0000-000000000000}"/>
  <bookViews>
    <workbookView xWindow="-120" yWindow="-120" windowWidth="29040" windowHeight="15720" xr2:uid="{A5BE0883-2E4C-4A64-A174-998725D38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6" i="1" l="1"/>
  <c r="Y22" i="1"/>
  <c r="U22" i="1"/>
  <c r="Q22" i="1"/>
  <c r="M22" i="1"/>
  <c r="I22" i="1"/>
  <c r="E22" i="1"/>
  <c r="AH26" i="1"/>
  <c r="AH29" i="1" s="1"/>
  <c r="AH30" i="1" s="1"/>
  <c r="AF18" i="1"/>
  <c r="AF20" i="1"/>
  <c r="AF21" i="1"/>
  <c r="AF22" i="1"/>
  <c r="AF23" i="1"/>
  <c r="AF17" i="1"/>
  <c r="AC23" i="1"/>
  <c r="AC22" i="1"/>
  <c r="AC21" i="1"/>
  <c r="AC17" i="1"/>
  <c r="AC18" i="1"/>
  <c r="AC20" i="1"/>
  <c r="AF19" i="1" l="1"/>
  <c r="AC19" i="1"/>
</calcChain>
</file>

<file path=xl/sharedStrings.xml><?xml version="1.0" encoding="utf-8"?>
<sst xmlns="http://schemas.openxmlformats.org/spreadsheetml/2006/main" count="18" uniqueCount="4">
  <si>
    <t>janilee total power</t>
  </si>
  <si>
    <t>nishi total power</t>
  </si>
  <si>
    <t>28/18 ratios</t>
  </si>
  <si>
    <t>total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</si>
</sst>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D95E-1A12-485C-B742-0FE12C8ED26E}">
  <dimension ref="A1:AI30"/>
  <sheetViews>
    <sheetView tabSelected="1" topLeftCell="I1" workbookViewId="0">
      <selection activeCell="X8" sqref="X8"/>
    </sheetView>
  </sheetViews>
  <sheetFormatPr defaultRowHeight="15" x14ac:dyDescent="0.25"/>
  <sheetData>
    <row r="1" spans="1:31" x14ac:dyDescent="0.25">
      <c r="A1" t="s">
        <v>0</v>
      </c>
      <c r="C1" t="s">
        <v>1</v>
      </c>
    </row>
    <row r="2" spans="1:31" x14ac:dyDescent="0.25">
      <c r="A2">
        <v>640</v>
      </c>
      <c r="C2">
        <v>640</v>
      </c>
    </row>
    <row r="3" spans="1:31" x14ac:dyDescent="0.25">
      <c r="A3">
        <v>1152</v>
      </c>
      <c r="C3">
        <v>1150</v>
      </c>
    </row>
    <row r="4" spans="1:31" x14ac:dyDescent="0.25">
      <c r="A4">
        <v>1350</v>
      </c>
      <c r="C4">
        <v>1350</v>
      </c>
    </row>
    <row r="5" spans="1:31" x14ac:dyDescent="0.25">
      <c r="A5">
        <v>1850</v>
      </c>
      <c r="C5">
        <v>1850</v>
      </c>
    </row>
    <row r="6" spans="1:31" x14ac:dyDescent="0.25">
      <c r="C6">
        <v>2500</v>
      </c>
    </row>
    <row r="7" spans="1:31" x14ac:dyDescent="0.25">
      <c r="C7">
        <v>4000</v>
      </c>
    </row>
    <row r="8" spans="1:31" x14ac:dyDescent="0.25">
      <c r="C8">
        <v>5400</v>
      </c>
    </row>
    <row r="9" spans="1:31" x14ac:dyDescent="0.25">
      <c r="C9">
        <v>6800</v>
      </c>
    </row>
    <row r="12" spans="1:31" x14ac:dyDescent="0.25">
      <c r="A12" t="s">
        <v>3</v>
      </c>
      <c r="B12" s="1">
        <v>640</v>
      </c>
      <c r="E12" t="s">
        <v>3</v>
      </c>
      <c r="F12" s="1">
        <v>1150</v>
      </c>
      <c r="I12" t="s">
        <v>3</v>
      </c>
      <c r="J12" s="1">
        <v>1350</v>
      </c>
      <c r="M12" t="s">
        <v>3</v>
      </c>
      <c r="N12" s="1">
        <v>1850</v>
      </c>
      <c r="Q12" t="s">
        <v>3</v>
      </c>
      <c r="R12" s="1">
        <v>2500</v>
      </c>
      <c r="U12" t="s">
        <v>3</v>
      </c>
      <c r="V12" s="1">
        <v>3600</v>
      </c>
      <c r="Y12" t="s">
        <v>3</v>
      </c>
      <c r="Z12" s="1">
        <v>5200</v>
      </c>
      <c r="AC12" t="s">
        <v>3</v>
      </c>
      <c r="AD12" s="1">
        <v>6800</v>
      </c>
    </row>
    <row r="13" spans="1:31" s="2" customFormat="1" x14ac:dyDescent="0.25">
      <c r="A13" s="2" t="s">
        <v>2</v>
      </c>
      <c r="B13" s="2">
        <v>18</v>
      </c>
      <c r="C13" s="2">
        <v>28</v>
      </c>
      <c r="E13" s="2" t="s">
        <v>2</v>
      </c>
      <c r="F13" s="2">
        <v>18</v>
      </c>
      <c r="G13" s="2">
        <v>28</v>
      </c>
      <c r="I13" s="2" t="s">
        <v>2</v>
      </c>
      <c r="J13" s="2">
        <v>18</v>
      </c>
      <c r="K13" s="2">
        <v>28</v>
      </c>
      <c r="M13" s="2" t="s">
        <v>2</v>
      </c>
      <c r="N13" s="2">
        <v>18</v>
      </c>
      <c r="O13" s="2">
        <v>28</v>
      </c>
      <c r="Q13" s="2" t="s">
        <v>2</v>
      </c>
      <c r="R13" s="2">
        <v>18</v>
      </c>
      <c r="S13" s="2">
        <v>28</v>
      </c>
      <c r="U13" s="2" t="s">
        <v>2</v>
      </c>
      <c r="V13" s="2">
        <v>18</v>
      </c>
      <c r="W13" s="2">
        <v>28</v>
      </c>
      <c r="Y13" s="2" t="s">
        <v>2</v>
      </c>
      <c r="Z13" s="2">
        <v>18</v>
      </c>
      <c r="AA13" s="2">
        <v>28</v>
      </c>
      <c r="AC13" s="2" t="s">
        <v>2</v>
      </c>
      <c r="AD13" s="2">
        <v>18</v>
      </c>
      <c r="AE13" s="2">
        <v>28</v>
      </c>
    </row>
    <row r="14" spans="1:31" x14ac:dyDescent="0.25">
      <c r="A14">
        <v>0.1</v>
      </c>
      <c r="B14">
        <v>582</v>
      </c>
      <c r="C14">
        <v>58</v>
      </c>
      <c r="E14">
        <v>0.1</v>
      </c>
      <c r="F14">
        <v>1045</v>
      </c>
      <c r="G14">
        <v>105</v>
      </c>
      <c r="I14">
        <v>0.1</v>
      </c>
      <c r="J14">
        <v>1227</v>
      </c>
      <c r="K14">
        <v>123</v>
      </c>
      <c r="M14">
        <v>0.1</v>
      </c>
      <c r="N14">
        <v>1682</v>
      </c>
      <c r="O14">
        <v>168</v>
      </c>
      <c r="Q14">
        <v>0.1</v>
      </c>
      <c r="U14">
        <v>0.1</v>
      </c>
      <c r="Y14">
        <v>0.1</v>
      </c>
    </row>
    <row r="15" spans="1:31" x14ac:dyDescent="0.25">
      <c r="A15">
        <v>0.2</v>
      </c>
      <c r="B15">
        <v>533</v>
      </c>
      <c r="C15">
        <v>107</v>
      </c>
      <c r="E15">
        <v>0.2</v>
      </c>
      <c r="F15">
        <v>960</v>
      </c>
      <c r="G15">
        <v>190</v>
      </c>
      <c r="I15">
        <v>0.2</v>
      </c>
      <c r="J15">
        <v>1125</v>
      </c>
      <c r="K15">
        <v>225</v>
      </c>
      <c r="M15">
        <v>0.2</v>
      </c>
      <c r="N15">
        <v>1540</v>
      </c>
      <c r="O15">
        <v>310</v>
      </c>
      <c r="Q15">
        <v>0.2</v>
      </c>
      <c r="U15">
        <v>0.2</v>
      </c>
      <c r="Y15">
        <v>0.2</v>
      </c>
    </row>
    <row r="16" spans="1:31" x14ac:dyDescent="0.25">
      <c r="A16">
        <v>0.5</v>
      </c>
      <c r="B16">
        <v>427</v>
      </c>
      <c r="C16">
        <v>213</v>
      </c>
      <c r="E16">
        <v>0.5</v>
      </c>
      <c r="F16">
        <v>767</v>
      </c>
      <c r="G16">
        <v>383</v>
      </c>
      <c r="I16">
        <v>0.5</v>
      </c>
      <c r="J16">
        <v>900</v>
      </c>
      <c r="K16">
        <v>450</v>
      </c>
      <c r="M16">
        <v>0.5</v>
      </c>
      <c r="N16">
        <v>1233</v>
      </c>
      <c r="O16">
        <v>617</v>
      </c>
      <c r="Q16">
        <v>0.5</v>
      </c>
      <c r="R16">
        <v>1667</v>
      </c>
      <c r="S16">
        <v>833</v>
      </c>
      <c r="U16">
        <v>0.5</v>
      </c>
      <c r="Y16">
        <v>0.5</v>
      </c>
    </row>
    <row r="17" spans="1:35" x14ac:dyDescent="0.25">
      <c r="A17">
        <v>0.75</v>
      </c>
      <c r="B17">
        <v>365</v>
      </c>
      <c r="C17">
        <v>275</v>
      </c>
      <c r="E17">
        <v>0.75</v>
      </c>
      <c r="F17">
        <v>657</v>
      </c>
      <c r="G17">
        <v>493</v>
      </c>
      <c r="I17">
        <v>0.75</v>
      </c>
      <c r="J17">
        <v>770</v>
      </c>
      <c r="K17">
        <v>580</v>
      </c>
      <c r="M17">
        <v>0.75</v>
      </c>
      <c r="N17">
        <v>1058</v>
      </c>
      <c r="O17">
        <v>792</v>
      </c>
      <c r="Q17">
        <v>0.75</v>
      </c>
      <c r="R17">
        <v>1430</v>
      </c>
      <c r="S17">
        <v>1070</v>
      </c>
      <c r="U17">
        <v>0.75</v>
      </c>
      <c r="Y17">
        <v>0.75</v>
      </c>
      <c r="AC17">
        <f t="shared" ref="AC17:AC19" si="0">AE17/AD17</f>
        <v>2.7777777777777777</v>
      </c>
      <c r="AD17">
        <v>1800</v>
      </c>
      <c r="AE17">
        <v>5000</v>
      </c>
      <c r="AF17">
        <f>AD17+AE17</f>
        <v>6800</v>
      </c>
    </row>
    <row r="18" spans="1:35" x14ac:dyDescent="0.25">
      <c r="A18">
        <v>1</v>
      </c>
      <c r="B18">
        <v>320</v>
      </c>
      <c r="C18">
        <v>320</v>
      </c>
      <c r="E18">
        <v>1</v>
      </c>
      <c r="F18">
        <v>575</v>
      </c>
      <c r="G18">
        <v>575</v>
      </c>
      <c r="I18">
        <v>1</v>
      </c>
      <c r="J18">
        <v>675</v>
      </c>
      <c r="K18">
        <v>675</v>
      </c>
      <c r="M18">
        <v>1</v>
      </c>
      <c r="N18">
        <v>925</v>
      </c>
      <c r="O18">
        <v>925</v>
      </c>
      <c r="Q18">
        <v>1</v>
      </c>
      <c r="R18">
        <v>1250</v>
      </c>
      <c r="S18">
        <v>1250</v>
      </c>
      <c r="U18">
        <v>1</v>
      </c>
      <c r="V18">
        <v>1800</v>
      </c>
      <c r="W18">
        <v>1800</v>
      </c>
      <c r="Y18">
        <v>1</v>
      </c>
      <c r="AC18">
        <f t="shared" si="0"/>
        <v>3.3870967741935485</v>
      </c>
      <c r="AD18">
        <v>1550</v>
      </c>
      <c r="AE18">
        <v>5250</v>
      </c>
      <c r="AF18">
        <f t="shared" ref="AF18:AF23" si="1">AD18+AE18</f>
        <v>6800</v>
      </c>
    </row>
    <row r="19" spans="1:35" x14ac:dyDescent="0.25">
      <c r="A19">
        <v>2</v>
      </c>
      <c r="B19">
        <v>214</v>
      </c>
      <c r="C19">
        <v>426</v>
      </c>
      <c r="E19">
        <v>2</v>
      </c>
      <c r="F19">
        <v>383</v>
      </c>
      <c r="G19">
        <v>767</v>
      </c>
      <c r="I19">
        <v>2</v>
      </c>
      <c r="J19">
        <v>450</v>
      </c>
      <c r="K19">
        <v>900</v>
      </c>
      <c r="M19">
        <v>2</v>
      </c>
      <c r="N19">
        <v>617</v>
      </c>
      <c r="O19">
        <v>1233</v>
      </c>
      <c r="Q19">
        <v>2</v>
      </c>
      <c r="R19">
        <v>833</v>
      </c>
      <c r="S19">
        <v>1667</v>
      </c>
      <c r="U19">
        <v>2</v>
      </c>
      <c r="V19">
        <v>1200</v>
      </c>
      <c r="W19">
        <v>2400</v>
      </c>
      <c r="Y19">
        <v>2</v>
      </c>
      <c r="Z19">
        <v>1734</v>
      </c>
      <c r="AA19">
        <v>3466</v>
      </c>
      <c r="AC19">
        <f t="shared" si="0"/>
        <v>4.0370370370370372</v>
      </c>
      <c r="AD19">
        <v>1350</v>
      </c>
      <c r="AE19">
        <v>5450</v>
      </c>
      <c r="AF19">
        <f t="shared" si="1"/>
        <v>6800</v>
      </c>
    </row>
    <row r="20" spans="1:35" x14ac:dyDescent="0.25">
      <c r="A20">
        <v>5</v>
      </c>
      <c r="B20">
        <v>107</v>
      </c>
      <c r="C20">
        <v>533</v>
      </c>
      <c r="E20">
        <v>5</v>
      </c>
      <c r="F20">
        <v>190</v>
      </c>
      <c r="G20">
        <v>960</v>
      </c>
      <c r="I20">
        <v>5</v>
      </c>
      <c r="J20">
        <v>225</v>
      </c>
      <c r="K20">
        <v>1125</v>
      </c>
      <c r="M20">
        <v>5</v>
      </c>
      <c r="N20">
        <v>310</v>
      </c>
      <c r="O20">
        <v>1540</v>
      </c>
      <c r="Q20">
        <v>5</v>
      </c>
      <c r="R20">
        <v>416</v>
      </c>
      <c r="S20">
        <v>2084</v>
      </c>
      <c r="U20">
        <v>5</v>
      </c>
      <c r="V20">
        <v>600</v>
      </c>
      <c r="W20">
        <v>3000</v>
      </c>
      <c r="Y20">
        <v>5</v>
      </c>
      <c r="Z20">
        <v>867</v>
      </c>
      <c r="AA20">
        <v>4333</v>
      </c>
      <c r="AC20">
        <f>AE20/AD20</f>
        <v>5.0017652250661957</v>
      </c>
      <c r="AD20">
        <v>1133</v>
      </c>
      <c r="AE20">
        <v>5667</v>
      </c>
      <c r="AF20">
        <f t="shared" si="1"/>
        <v>6800</v>
      </c>
    </row>
    <row r="21" spans="1:35" x14ac:dyDescent="0.25">
      <c r="A21">
        <v>12</v>
      </c>
      <c r="B21">
        <v>50</v>
      </c>
      <c r="C21">
        <v>590</v>
      </c>
      <c r="E21">
        <v>8</v>
      </c>
      <c r="F21">
        <v>128</v>
      </c>
      <c r="G21">
        <v>1022</v>
      </c>
      <c r="I21">
        <v>8</v>
      </c>
      <c r="J21">
        <v>150</v>
      </c>
      <c r="K21">
        <v>1200</v>
      </c>
      <c r="M21">
        <v>8</v>
      </c>
      <c r="N21">
        <v>205</v>
      </c>
      <c r="O21">
        <v>1645</v>
      </c>
      <c r="Q21">
        <v>8</v>
      </c>
      <c r="R21">
        <v>277</v>
      </c>
      <c r="S21">
        <v>2223</v>
      </c>
      <c r="U21">
        <v>8</v>
      </c>
      <c r="V21">
        <v>400</v>
      </c>
      <c r="W21">
        <v>3200</v>
      </c>
      <c r="Y21">
        <v>8</v>
      </c>
      <c r="Z21">
        <v>578</v>
      </c>
      <c r="AA21">
        <v>4622</v>
      </c>
      <c r="AC21">
        <f>AE21/AD21</f>
        <v>5.7</v>
      </c>
      <c r="AD21">
        <v>1000</v>
      </c>
      <c r="AE21">
        <v>5700</v>
      </c>
      <c r="AF21">
        <f t="shared" si="1"/>
        <v>6700</v>
      </c>
    </row>
    <row r="22" spans="1:35" x14ac:dyDescent="0.25">
      <c r="E22">
        <f>G22/F22</f>
        <v>13.375</v>
      </c>
      <c r="F22">
        <v>80</v>
      </c>
      <c r="G22">
        <v>1070</v>
      </c>
      <c r="I22">
        <f>1260/90</f>
        <v>14</v>
      </c>
      <c r="J22">
        <v>90</v>
      </c>
      <c r="K22">
        <v>1260</v>
      </c>
      <c r="M22">
        <f>1720/130</f>
        <v>13.23076923076923</v>
      </c>
      <c r="N22">
        <v>130</v>
      </c>
      <c r="O22">
        <v>1720</v>
      </c>
      <c r="Q22">
        <f>S22/R22</f>
        <v>13.285714285714286</v>
      </c>
      <c r="R22">
        <v>175</v>
      </c>
      <c r="S22">
        <v>2325</v>
      </c>
      <c r="U22">
        <f>W22/V22</f>
        <v>13.4</v>
      </c>
      <c r="V22">
        <v>250</v>
      </c>
      <c r="W22">
        <v>3350</v>
      </c>
      <c r="Y22">
        <f>AA22/Z22</f>
        <v>13.857142857142858</v>
      </c>
      <c r="Z22">
        <v>350</v>
      </c>
      <c r="AA22">
        <v>4850</v>
      </c>
      <c r="AC22">
        <f>AE22/AD22</f>
        <v>10</v>
      </c>
      <c r="AD22">
        <v>560</v>
      </c>
      <c r="AE22">
        <v>5600</v>
      </c>
      <c r="AF22">
        <f t="shared" si="1"/>
        <v>6160</v>
      </c>
    </row>
    <row r="23" spans="1:35" x14ac:dyDescent="0.25">
      <c r="E23">
        <v>20</v>
      </c>
      <c r="F23">
        <v>55</v>
      </c>
      <c r="G23">
        <v>1095</v>
      </c>
      <c r="I23">
        <v>20</v>
      </c>
      <c r="J23">
        <v>65</v>
      </c>
      <c r="K23">
        <v>1285</v>
      </c>
      <c r="M23">
        <v>20</v>
      </c>
      <c r="N23">
        <v>90</v>
      </c>
      <c r="O23">
        <v>1760</v>
      </c>
      <c r="Q23">
        <v>20</v>
      </c>
      <c r="R23">
        <v>120</v>
      </c>
      <c r="S23">
        <v>2380</v>
      </c>
      <c r="U23">
        <v>20</v>
      </c>
      <c r="V23">
        <v>170</v>
      </c>
      <c r="W23">
        <v>3430</v>
      </c>
      <c r="Y23">
        <v>20</v>
      </c>
      <c r="Z23">
        <v>250</v>
      </c>
      <c r="AA23">
        <v>4950</v>
      </c>
      <c r="AC23">
        <f>AE23/AD23</f>
        <v>20</v>
      </c>
      <c r="AD23">
        <v>280</v>
      </c>
      <c r="AE23">
        <v>5600</v>
      </c>
      <c r="AF23">
        <f t="shared" si="1"/>
        <v>5880</v>
      </c>
    </row>
    <row r="26" spans="1:35" x14ac:dyDescent="0.25">
      <c r="C26">
        <v>8</v>
      </c>
      <c r="G26">
        <v>10</v>
      </c>
      <c r="K26">
        <v>10</v>
      </c>
      <c r="O26">
        <v>10</v>
      </c>
      <c r="S26">
        <v>8</v>
      </c>
      <c r="W26">
        <v>7</v>
      </c>
      <c r="AA26">
        <v>5</v>
      </c>
      <c r="AF26">
        <v>7</v>
      </c>
      <c r="AH26">
        <f>SUM(C26:AF26)</f>
        <v>65</v>
      </c>
      <c r="AI26">
        <f>65*13/60</f>
        <v>14.083333333333334</v>
      </c>
    </row>
    <row r="29" spans="1:35" x14ac:dyDescent="0.25">
      <c r="AH29">
        <f>AH26*10</f>
        <v>650</v>
      </c>
    </row>
    <row r="30" spans="1:35" x14ac:dyDescent="0.25">
      <c r="AH30">
        <f>AH29/60</f>
        <v>10.833333333333334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Intwala</dc:creator>
  <cp:lastModifiedBy>Nishi Intwala</cp:lastModifiedBy>
  <dcterms:created xsi:type="dcterms:W3CDTF">2026-09-19T21:45:14Z</dcterms:created>
  <dcterms:modified xsi:type="dcterms:W3CDTF">2026-09-20T03:00:22Z</dcterms:modified>
</cp:coreProperties>
</file>